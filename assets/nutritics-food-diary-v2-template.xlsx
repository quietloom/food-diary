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Food Library" sheetId="2" state="visible" r:id="rId4"/>
    <sheet name="Daily Log" sheetId="3" state="visible" r:id="rId5"/>
    <sheet name="Lists" sheetId="4" state="visible" r:id="rId6"/>
  </sheets>
  <definedNames>
    <definedName function="false" hidden="true" localSheetId="2" name="_xlnm._FilterDatabase" vbProcedure="false">'Daily Log'!$A$5:$L$500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<sst xmlns="http://schemas.openxmlformats.org/spreadsheetml/2006/main" count="121" uniqueCount="115">
  <si>
    <t xml:space="preserve">Food &amp; Fluid Diary — built for fast manual entry into Nutritics</t>
  </si>
  <si>
    <t xml:space="preserve">Trial version: diary completed by the client, keyed into Nutritics by the dietitian.</t>
  </si>
  <si>
    <t xml:space="preserve">WHY THIS IS SPLIT INTO TWO SHEETS</t>
  </si>
  <si>
    <t xml:space="preserve">In Nutritics, the slow part of entering a diary is not typing quantities — it is SEARCHING for each food.</t>
  </si>
  <si>
    <t xml:space="preserve">Nutritics lets you add a food to multiple days and meals without searching for it again. This workbook is built to exploit that.</t>
  </si>
  <si>
    <t xml:space="preserve">A 7-day diary might have ~120 entries but only ~35 different foods. Search per entry = 120 searches.</t>
  </si>
  <si>
    <t xml:space="preserve">Search per distinct food = 35 searches. That is the whole idea.</t>
  </si>
  <si>
    <t xml:space="preserve">SHEET 1 — 'Food Library'   (every DISTINCT food, listed once)</t>
  </si>
  <si>
    <t xml:space="preserve">The client lists each food they ate ONCE, with brand, barcode and pack size. Each gets a code (F01, F02...).</t>
  </si>
  <si>
    <t xml:space="preserve">'Times used' shows how often it appears in the diary, so you can see which foods are worth getting exactly right.</t>
  </si>
  <si>
    <t xml:space="preserve">SHEET 2 — 'Daily Log'   (what was eaten, when, how much)</t>
  </si>
  <si>
    <t xml:space="preserve">One row per eating occasion. The client enters the food CODE, not the name — the name and barcode fill in automatically.</t>
  </si>
  <si>
    <t xml:space="preserve">Quantity is in GRAMS or ML, because that is what the Nutritics quantity cell takes.</t>
  </si>
  <si>
    <t xml:space="preserve">SUGGESTED ORDER OF WORK FOR THE DIETITIAN</t>
  </si>
  <si>
    <t xml:space="preserve">1. Open 'Food Library'. Work down it, searching each food in Nutritics ONCE. Use the barcode where there is one.</t>
  </si>
  <si>
    <t xml:space="preserve">2. As you find each food, tick the 'Found in Nutritics?' column and note the exact name Nutritics used.</t>
  </si>
  <si>
    <t xml:space="preserve">3. Open 'Daily Log'. It is already in day / meal order — key straight down it. Every food is now in your recent items.</t>
  </si>
  <si>
    <t xml:space="preserve">4. Quantity goes straight into the white quantity cell in the Nutritics diet log. No conversion needed.</t>
  </si>
  <si>
    <t xml:space="preserve">HOW THE COLUMNS MAP TO NUTRITICS</t>
  </si>
  <si>
    <t xml:space="preserve">Barcode (EAN)  -&gt;  paste into the Nutritics food search. Exact product match, no guesswork.</t>
  </si>
  <si>
    <t xml:space="preserve">Food name       -&gt;  the search term, if there is no barcode.</t>
  </si>
  <si>
    <t xml:space="preserve">Quantity (g/ml) -&gt;  the white quantity cell in the diet log workspace.</t>
  </si>
  <si>
    <t xml:space="preserve">Meal            -&gt;  which meal row to drop the food into.</t>
  </si>
  <si>
    <t xml:space="preserve">Cooking method  -&gt;  affects which Nutritics entry to pick (e.g. boiled vs fried).</t>
  </si>
  <si>
    <t xml:space="preserve">Added extras    -&gt;  each of these is its own separate food entry in Nutritics (butter, milk, sauce).</t>
  </si>
  <si>
    <t xml:space="preserve">NOTE ON 'ADDED EXTRAS'</t>
  </si>
  <si>
    <t xml:space="preserve">Butter on toast, milk in tea, oil in the pan, sugar — these are all separate foods to Nutritics.</t>
  </si>
  <si>
    <t xml:space="preserve">The client should give them their own Library entry and their own Daily Log row wherever possible.</t>
  </si>
  <si>
    <t xml:space="preserve">PROGRESS (updates automatically)</t>
  </si>
  <si>
    <t xml:space="preserve">Distinct foods in the Library</t>
  </si>
  <si>
    <t xml:space="preserve">Total entries in the Daily Log</t>
  </si>
  <si>
    <t xml:space="preserve">Foods confirmed found in Nutritics</t>
  </si>
  <si>
    <t xml:space="preserve">Searches saved by reusing foods</t>
  </si>
  <si>
    <t xml:space="preserve">'Searches saved' = how many food searches the Library structure spares you versus searching for every single entry.</t>
  </si>
  <si>
    <t xml:space="preserve">Food Library — every distinct food, listed once</t>
  </si>
  <si>
    <t xml:space="preserve">CLIENT: add a new row the first time you eat something. Reuse its code after that — never list a food twice.</t>
  </si>
  <si>
    <t xml:space="preserve">DIETITIAN: search each of these in Nutritics ONCE. Use the barcode where present.</t>
  </si>
  <si>
    <t xml:space="preserve">Code</t>
  </si>
  <si>
    <t xml:space="preserve">Food name — as you'd search it</t>
  </si>
  <si>
    <t xml:space="preserve">Brand / shop</t>
  </si>
  <si>
    <t xml:space="preserve">Barcode (EAN)</t>
  </si>
  <si>
    <t xml:space="preserve">Pack size</t>
  </si>
  <si>
    <t xml:space="preserve">Typical portion (g/ml)</t>
  </si>
  <si>
    <t xml:space="preserve">Cooking method</t>
  </si>
  <si>
    <t xml:space="preserve">Found in Nutritics?</t>
  </si>
  <si>
    <t xml:space="preserve">Exact name used in Nutritics</t>
  </si>
  <si>
    <t xml:space="preserve">Times used</t>
  </si>
  <si>
    <t xml:space="preserve">Check</t>
  </si>
  <si>
    <t xml:space="preserve">F01</t>
  </si>
  <si>
    <t xml:space="preserve">Weetabix Original wholegrain wheat biscuits</t>
  </si>
  <si>
    <t xml:space="preserve">Weetabix</t>
  </si>
  <si>
    <t xml:space="preserve">5010029000016</t>
  </si>
  <si>
    <t xml:space="preserve">430g</t>
  </si>
  <si>
    <t xml:space="preserve">Raw / as sold</t>
  </si>
  <si>
    <t xml:space="preserve">← example row — overwrite or delete it</t>
  </si>
  <si>
    <t xml:space="preserve">Daily Log — what was eaten, when, and how much</t>
  </si>
  <si>
    <t xml:space="preserve">Enter the food CODE from the Library. Name and barcode fill in automatically. Quantity in GRAMS or ML.</t>
  </si>
  <si>
    <t xml:space="preserve">Already in day / meal order — the dietitian can key straight down it.</t>
  </si>
  <si>
    <t xml:space="preserve">Day</t>
  </si>
  <si>
    <t xml:space="preserve">Date</t>
  </si>
  <si>
    <t xml:space="preserve">Meal</t>
  </si>
  <si>
    <t xml:space="preserve">Time</t>
  </si>
  <si>
    <t xml:space="preserve">Food code</t>
  </si>
  <si>
    <t xml:space="preserve">Food name (auto)</t>
  </si>
  <si>
    <t xml:space="preserve">Barcode (auto)</t>
  </si>
  <si>
    <t xml:space="preserve">Quantity</t>
  </si>
  <si>
    <t xml:space="preserve">Unit</t>
  </si>
  <si>
    <t xml:space="preserve">How measured</t>
  </si>
  <si>
    <t xml:space="preserve">Any left over?</t>
  </si>
  <si>
    <t xml:space="preserve">Notes</t>
  </si>
  <si>
    <t xml:space="preserve">1-7</t>
  </si>
  <si>
    <t xml:space="preserve">DD/MM/YYYY</t>
  </si>
  <si>
    <t xml:space="preserve">Dropdown</t>
  </si>
  <si>
    <t xml:space="preserve">08:15</t>
  </si>
  <si>
    <t xml:space="preserve">From Library</t>
  </si>
  <si>
    <t xml:space="preserve">Fills itself</t>
  </si>
  <si>
    <t xml:space="preserve">NUMBER — grams/ml</t>
  </si>
  <si>
    <t xml:space="preserve">g / ml</t>
  </si>
  <si>
    <t xml:space="preserve">Weighed / pack / estimated</t>
  </si>
  <si>
    <t xml:space="preserve">e.g. ate half</t>
  </si>
  <si>
    <t xml:space="preserve">Anything useful</t>
  </si>
  <si>
    <t xml:space="preserve">12/07/2026</t>
  </si>
  <si>
    <t xml:space="preserve">Breakfast</t>
  </si>
  <si>
    <t xml:space="preserve">g</t>
  </si>
  <si>
    <t xml:space="preserve">Pack (2 biscuits)</t>
  </si>
  <si>
    <t xml:space="preserve">Ate all</t>
  </si>
  <si>
    <t xml:space="preserve">With 125ml milk — logged separately as F02</t>
  </si>
  <si>
    <t xml:space="preserve">← example (row 7). Start on row 8.</t>
  </si>
  <si>
    <t xml:space="preserve">Meals</t>
  </si>
  <si>
    <t xml:space="preserve">Units</t>
  </si>
  <si>
    <t xml:space="preserve">Measured</t>
  </si>
  <si>
    <t xml:space="preserve">Cooking</t>
  </si>
  <si>
    <t xml:space="preserve">Weighed on scales</t>
  </si>
  <si>
    <t xml:space="preserve">Mid-morning snack</t>
  </si>
  <si>
    <t xml:space="preserve">ml</t>
  </si>
  <si>
    <t xml:space="preserve">Pack / label weight</t>
  </si>
  <si>
    <t xml:space="preserve">Boiled</t>
  </si>
  <si>
    <t xml:space="preserve">Lunch</t>
  </si>
  <si>
    <t xml:space="preserve">Household measure</t>
  </si>
  <si>
    <t xml:space="preserve">Steamed</t>
  </si>
  <si>
    <t xml:space="preserve">Afternoon snack</t>
  </si>
  <si>
    <t xml:space="preserve">Estimated</t>
  </si>
  <si>
    <t xml:space="preserve">Grilled</t>
  </si>
  <si>
    <t xml:space="preserve">Dinner</t>
  </si>
  <si>
    <t xml:space="preserve">Fried</t>
  </si>
  <si>
    <t xml:space="preserve">Evening snack</t>
  </si>
  <si>
    <t xml:space="preserve">Air-fried</t>
  </si>
  <si>
    <t xml:space="preserve">Drink</t>
  </si>
  <si>
    <t xml:space="preserve">Baked</t>
  </si>
  <si>
    <t xml:space="preserve">Supplement</t>
  </si>
  <si>
    <t xml:space="preserve">Roasted</t>
  </si>
  <si>
    <t xml:space="preserve">Microwaved</t>
  </si>
  <si>
    <t xml:space="preserve">Toasted</t>
  </si>
  <si>
    <t xml:space="preserve">Takeaway</t>
  </si>
  <si>
    <t xml:space="preserve">Not applicable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</si>
</sst>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A73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b val="true"/>
      <sz val="11"/>
      <color rgb="FFE8631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7A5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003A73"/>
      <name val="Arial"/>
      <family val="0"/>
      <charset val="1"/>
    </font>
    <font>
      <i val="true"/>
      <sz val="9"/>
      <color rgb="FFE863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9"/>
      <color rgb="FFE8631A"/>
      <name val="Arial"/>
      <family val="0"/>
      <charset val="1"/>
    </font>
    <font>
      <i val="true"/>
      <sz val="8"/>
      <color rgb="FF7F7F7F"/>
      <name val="Arial"/>
      <family val="0"/>
      <charset val="1"/>
    </font>
    <font>
      <sz val="10"/>
      <color rgb="FF40404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AF2FB"/>
        <bgColor rgb="FFEAF7F0"/>
      </patternFill>
    </fill>
    <fill>
      <patternFill patternType="solid">
        <fgColor rgb="FF005EB8"/>
        <bgColor rgb="FF008080"/>
      </patternFill>
    </fill>
    <fill>
      <patternFill patternType="solid">
        <fgColor rgb="FFE8631A"/>
        <bgColor rgb="FFFF8080"/>
      </patternFill>
    </fill>
    <fill>
      <patternFill patternType="solid">
        <fgColor rgb="FF1E7A57"/>
        <bgColor rgb="FF008080"/>
      </patternFill>
    </fill>
    <fill>
      <patternFill patternType="solid">
        <fgColor rgb="FFFFF9E6"/>
        <bgColor rgb="FFFFFFFF"/>
      </patternFill>
    </fill>
    <fill>
      <patternFill patternType="solid">
        <fgColor rgb="FFEAF7F0"/>
        <bgColor rgb="FFEAF2FB"/>
      </patternFill>
    </fill>
    <fill>
      <patternFill patternType="solid">
        <fgColor rgb="FF7A8894"/>
        <bgColor rgb="FF808080"/>
      </patternFill>
    </fill>
    <fill>
      <patternFill patternType="solid">
        <fgColor rgb="FFEFEFEF"/>
        <bgColor rgb="FFEAF2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05EB8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8894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E863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E7A57"/>
      <rgbColor rgb="FFBFBFBF"/>
      <rgbColor rgb="FF808080"/>
      <rgbColor rgb="FF9999FF"/>
      <rgbColor rgb="FF993366"/>
      <rgbColor rgb="FFFFF9E6"/>
      <rgbColor rgb="FFEAF7F0"/>
      <rgbColor rgb="FF660066"/>
      <rgbColor rgb="FFFF8080"/>
      <rgbColor rgb="FF005E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B"/>
      <rgbColor rgb="FFEFEFE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31A"/>
      <rgbColor rgb="FF606060"/>
      <rgbColor rgb="FF7A8894"/>
      <rgbColor rgb="FF003A73"/>
      <rgbColor rgb="FF7F7F7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2"/>
    <col collapsed="false" customWidth="true" hidden="false" outlineLevel="0" max="3" min="3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5" t="s">
        <v>6</v>
      </c>
    </row>
    <row r="13" customFormat="false" ht="15" hidden="false" customHeight="false" outlineLevel="0" collapsed="false">
      <c r="B13" s="3" t="s">
        <v>7</v>
      </c>
    </row>
    <row r="14" customFormat="false" ht="15" hidden="false" customHeight="false" outlineLevel="0" collapsed="false">
      <c r="B14" s="4" t="s">
        <v>8</v>
      </c>
    </row>
    <row r="15" customFormat="false" ht="15" hidden="false" customHeight="false" outlineLevel="0" collapsed="false">
      <c r="B15" s="4" t="s">
        <v>9</v>
      </c>
    </row>
    <row r="17" customFormat="false" ht="15" hidden="false" customHeight="false" outlineLevel="0" collapsed="false">
      <c r="B17" s="3" t="s">
        <v>10</v>
      </c>
    </row>
    <row r="18" customFormat="false" ht="15" hidden="false" customHeight="false" outlineLevel="0" collapsed="false">
      <c r="B18" s="4" t="s">
        <v>11</v>
      </c>
    </row>
    <row r="19" customFormat="false" ht="15" hidden="false" customHeight="false" outlineLevel="0" collapsed="false">
      <c r="B19" s="4" t="s">
        <v>12</v>
      </c>
    </row>
    <row r="21" customFormat="false" ht="15" hidden="false" customHeight="false" outlineLevel="0" collapsed="false">
      <c r="B21" s="3" t="s">
        <v>13</v>
      </c>
    </row>
    <row r="22" customFormat="false" ht="15" hidden="false" customHeight="false" outlineLevel="0" collapsed="false">
      <c r="B22" s="4" t="s">
        <v>14</v>
      </c>
    </row>
    <row r="23" customFormat="false" ht="15" hidden="false" customHeight="false" outlineLevel="0" collapsed="false">
      <c r="B23" s="4" t="s">
        <v>15</v>
      </c>
    </row>
    <row r="24" customFormat="false" ht="15" hidden="false" customHeight="false" outlineLevel="0" collapsed="false">
      <c r="B24" s="4" t="s">
        <v>16</v>
      </c>
    </row>
    <row r="25" customFormat="false" ht="15" hidden="false" customHeight="false" outlineLevel="0" collapsed="false">
      <c r="B25" s="4" t="s">
        <v>17</v>
      </c>
    </row>
    <row r="27" customFormat="false" ht="15" hidden="false" customHeight="false" outlineLevel="0" collapsed="false">
      <c r="B27" s="3" t="s">
        <v>18</v>
      </c>
    </row>
    <row r="28" customFormat="false" ht="15" hidden="false" customHeight="false" outlineLevel="0" collapsed="false">
      <c r="B28" s="4" t="s">
        <v>19</v>
      </c>
    </row>
    <row r="29" customFormat="false" ht="15" hidden="false" customHeight="false" outlineLevel="0" collapsed="false">
      <c r="B29" s="4" t="s">
        <v>20</v>
      </c>
    </row>
    <row r="30" customFormat="false" ht="15" hidden="false" customHeight="false" outlineLevel="0" collapsed="false">
      <c r="B30" s="4" t="s">
        <v>21</v>
      </c>
    </row>
    <row r="31" customFormat="false" ht="15" hidden="false" customHeight="false" outlineLevel="0" collapsed="false">
      <c r="B31" s="4" t="s">
        <v>22</v>
      </c>
    </row>
    <row r="32" customFormat="false" ht="15" hidden="false" customHeight="false" outlineLevel="0" collapsed="false">
      <c r="B32" s="4" t="s">
        <v>23</v>
      </c>
    </row>
    <row r="33" customFormat="false" ht="15" hidden="false" customHeight="false" outlineLevel="0" collapsed="false">
      <c r="B33" s="4" t="s">
        <v>24</v>
      </c>
    </row>
    <row r="35" customFormat="false" ht="15" hidden="false" customHeight="false" outlineLevel="0" collapsed="false">
      <c r="B35" s="3" t="s">
        <v>25</v>
      </c>
    </row>
    <row r="36" customFormat="false" ht="15" hidden="false" customHeight="false" outlineLevel="0" collapsed="false">
      <c r="B36" s="4" t="s">
        <v>26</v>
      </c>
    </row>
    <row r="37" customFormat="false" ht="15" hidden="false" customHeight="false" outlineLevel="0" collapsed="false">
      <c r="B37" s="4" t="s">
        <v>27</v>
      </c>
    </row>
    <row r="39" customFormat="false" ht="15" hidden="false" customHeight="false" outlineLevel="0" collapsed="false">
      <c r="B39" s="3" t="s">
        <v>28</v>
      </c>
    </row>
    <row r="40" customFormat="false" ht="15" hidden="false" customHeight="false" outlineLevel="0" collapsed="false">
      <c r="B40" s="6" t="s">
        <v>29</v>
      </c>
      <c r="C40" s="7" t="n">
        <f aca="false">COUNTA('Food Library'!$B$6:$B$105)</f>
        <v>1</v>
      </c>
    </row>
    <row r="41" customFormat="false" ht="15" hidden="false" customHeight="false" outlineLevel="0" collapsed="false">
      <c r="B41" s="6" t="s">
        <v>30</v>
      </c>
      <c r="C41" s="7" t="n">
        <f aca="false">COUNTA('Daily Log'!$E$8:$E$500)</f>
        <v>0</v>
      </c>
    </row>
    <row r="42" customFormat="false" ht="15" hidden="false" customHeight="false" outlineLevel="0" collapsed="false">
      <c r="B42" s="6" t="s">
        <v>31</v>
      </c>
      <c r="C42" s="7" t="n">
        <f aca="false">COUNTIF('Food Library'!$H$6:$H$105,"Yes")</f>
        <v>0</v>
      </c>
    </row>
    <row r="43" customFormat="false" ht="15" hidden="false" customHeight="false" outlineLevel="0" collapsed="false">
      <c r="B43" s="6" t="s">
        <v>32</v>
      </c>
      <c r="C43" s="7" t="n">
        <f aca="false">COUNTA('Daily Log'!$E$8:$E$500)-COUNTA('Food Library'!$B$6:$B$105)</f>
        <v>-1</v>
      </c>
    </row>
    <row r="45" customFormat="false" ht="15" hidden="false" customHeight="false" outlineLevel="0" collapsed="false">
      <c r="B45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17"/>
  </cols>
  <sheetData>
    <row r="1" customFormat="false" ht="17.35" hidden="false" customHeight="false" outlineLevel="0" collapsed="false">
      <c r="A1" s="9" t="s">
        <v>34</v>
      </c>
    </row>
    <row r="2" customFormat="false" ht="15" hidden="false" customHeight="false" outlineLevel="0" collapsed="false">
      <c r="A2" s="8" t="s">
        <v>35</v>
      </c>
    </row>
    <row r="3" customFormat="false" ht="15" hidden="false" customHeight="false" outlineLevel="0" collapsed="false">
      <c r="A3" s="10" t="s">
        <v>36</v>
      </c>
    </row>
    <row r="5" customFormat="false" ht="31.5" hidden="false" customHeight="true" outlineLevel="0" collapsed="false">
      <c r="A5" s="11" t="s">
        <v>37</v>
      </c>
      <c r="B5" s="11" t="s">
        <v>38</v>
      </c>
      <c r="C5" s="11" t="s">
        <v>39</v>
      </c>
      <c r="D5" s="12" t="s">
        <v>40</v>
      </c>
      <c r="E5" s="11" t="s">
        <v>41</v>
      </c>
      <c r="F5" s="11" t="s">
        <v>42</v>
      </c>
      <c r="G5" s="11" t="s">
        <v>43</v>
      </c>
      <c r="H5" s="13" t="s">
        <v>44</v>
      </c>
      <c r="I5" s="13" t="s">
        <v>45</v>
      </c>
      <c r="J5" s="11" t="s">
        <v>46</v>
      </c>
      <c r="K5" s="11" t="s">
        <v>47</v>
      </c>
    </row>
    <row r="6" customFormat="false" ht="15" hidden="false" customHeight="false" outlineLevel="0" collapsed="false">
      <c r="A6" s="14" t="s">
        <v>48</v>
      </c>
      <c r="B6" s="14" t="s">
        <v>49</v>
      </c>
      <c r="C6" s="14" t="s">
        <v>50</v>
      </c>
      <c r="D6" s="15" t="s">
        <v>51</v>
      </c>
      <c r="E6" s="14" t="s">
        <v>52</v>
      </c>
      <c r="F6" s="14" t="n">
        <v>37.5</v>
      </c>
      <c r="G6" s="14" t="s">
        <v>53</v>
      </c>
      <c r="H6" s="16"/>
      <c r="I6" s="16"/>
      <c r="J6" s="17" t="n">
        <f aca="false">IF($A6="","",COUNTIF('Daily Log'!$E$8:$E$500,$A6))</f>
        <v>0</v>
      </c>
      <c r="K6" s="18" t="str">
        <f aca="false">IF($A6="","",IF(COUNTIF($A$6:$A$105,$A6)&gt;1,"DUPLICATE CODE",IF($B6="","needs a name","OK")))</f>
        <v>OK</v>
      </c>
      <c r="L6" s="19" t="s">
        <v>54</v>
      </c>
    </row>
    <row r="7" customFormat="false" ht="15" hidden="false" customHeight="false" outlineLevel="0" collapsed="false">
      <c r="A7" s="20"/>
      <c r="B7" s="21"/>
      <c r="C7" s="20"/>
      <c r="D7" s="22"/>
      <c r="E7" s="20"/>
      <c r="F7" s="20"/>
      <c r="G7" s="20"/>
      <c r="H7" s="23"/>
      <c r="I7" s="24"/>
      <c r="J7" s="18" t="str">
        <f aca="false">IF($A7="","",COUNTIF('Daily Log'!$E$8:$E$500,$A7))</f>
        <v/>
      </c>
      <c r="K7" s="18" t="str">
        <f aca="false">IF($A7="","",IF(COUNTIF($A$6:$A$105,$A7)&gt;1,"DUPLICATE CODE",IF($B7="","needs a name","OK")))</f>
        <v/>
      </c>
    </row>
    <row r="8" customFormat="false" ht="15" hidden="false" customHeight="false" outlineLevel="0" collapsed="false">
      <c r="A8" s="20"/>
      <c r="B8" s="21"/>
      <c r="C8" s="20"/>
      <c r="D8" s="22"/>
      <c r="E8" s="20"/>
      <c r="F8" s="20"/>
      <c r="G8" s="20"/>
      <c r="H8" s="23"/>
      <c r="I8" s="24"/>
      <c r="J8" s="18" t="str">
        <f aca="false">IF($A8="","",COUNTIF('Daily Log'!$E$8:$E$500,$A8))</f>
        <v/>
      </c>
      <c r="K8" s="18" t="str">
        <f aca="false">IF($A8="","",IF(COUNTIF($A$6:$A$105,$A8)&gt;1,"DUPLICATE CODE",IF($B8="","needs a name","OK")))</f>
        <v/>
      </c>
    </row>
    <row r="9" customFormat="false" ht="15" hidden="false" customHeight="false" outlineLevel="0" collapsed="false">
      <c r="A9" s="20"/>
      <c r="B9" s="21"/>
      <c r="C9" s="20"/>
      <c r="D9" s="22"/>
      <c r="E9" s="20"/>
      <c r="F9" s="20"/>
      <c r="G9" s="20"/>
      <c r="H9" s="23"/>
      <c r="I9" s="24"/>
      <c r="J9" s="18" t="str">
        <f aca="false">IF($A9="","",COUNTIF('Daily Log'!$E$8:$E$500,$A9))</f>
        <v/>
      </c>
      <c r="K9" s="18" t="str">
        <f aca="false">IF($A9="","",IF(COUNTIF($A$6:$A$105,$A9)&gt;1,"DUPLICATE CODE",IF($B9="","needs a name","OK")))</f>
        <v/>
      </c>
    </row>
    <row r="10" customFormat="false" ht="15" hidden="false" customHeight="false" outlineLevel="0" collapsed="false">
      <c r="A10" s="20"/>
      <c r="B10" s="21"/>
      <c r="C10" s="20"/>
      <c r="D10" s="22"/>
      <c r="E10" s="20"/>
      <c r="F10" s="20"/>
      <c r="G10" s="20"/>
      <c r="H10" s="23"/>
      <c r="I10" s="24"/>
      <c r="J10" s="18" t="str">
        <f aca="false">IF($A10="","",COUNTIF('Daily Log'!$E$8:$E$500,$A10))</f>
        <v/>
      </c>
      <c r="K10" s="18" t="str">
        <f aca="false">IF($A10="","",IF(COUNTIF($A$6:$A$105,$A10)&gt;1,"DUPLICATE CODE",IF($B10="","needs a name","OK")))</f>
        <v/>
      </c>
    </row>
    <row r="11" customFormat="false" ht="15" hidden="false" customHeight="false" outlineLevel="0" collapsed="false">
      <c r="A11" s="20"/>
      <c r="B11" s="21"/>
      <c r="C11" s="20"/>
      <c r="D11" s="22"/>
      <c r="E11" s="20"/>
      <c r="F11" s="20"/>
      <c r="G11" s="20"/>
      <c r="H11" s="23"/>
      <c r="I11" s="24"/>
      <c r="J11" s="18" t="str">
        <f aca="false">IF($A11="","",COUNTIF('Daily Log'!$E$8:$E$500,$A11))</f>
        <v/>
      </c>
      <c r="K11" s="18" t="str">
        <f aca="false">IF($A11="","",IF(COUNTIF($A$6:$A$105,$A11)&gt;1,"DUPLICATE CODE",IF($B11="","needs a name","OK")))</f>
        <v/>
      </c>
    </row>
    <row r="12" customFormat="false" ht="15" hidden="false" customHeight="false" outlineLevel="0" collapsed="false">
      <c r="A12" s="20"/>
      <c r="B12" s="21"/>
      <c r="C12" s="20"/>
      <c r="D12" s="22"/>
      <c r="E12" s="20"/>
      <c r="F12" s="20"/>
      <c r="G12" s="20"/>
      <c r="H12" s="23"/>
      <c r="I12" s="24"/>
      <c r="J12" s="18" t="str">
        <f aca="false">IF($A12="","",COUNTIF('Daily Log'!$E$8:$E$500,$A12))</f>
        <v/>
      </c>
      <c r="K12" s="18" t="str">
        <f aca="false">IF($A12="","",IF(COUNTIF($A$6:$A$105,$A12)&gt;1,"DUPLICATE CODE",IF($B12="","needs a name","OK")))</f>
        <v/>
      </c>
    </row>
    <row r="13" customFormat="false" ht="15" hidden="false" customHeight="false" outlineLevel="0" collapsed="false">
      <c r="A13" s="20"/>
      <c r="B13" s="21"/>
      <c r="C13" s="20"/>
      <c r="D13" s="22"/>
      <c r="E13" s="20"/>
      <c r="F13" s="20"/>
      <c r="G13" s="20"/>
      <c r="H13" s="23"/>
      <c r="I13" s="24"/>
      <c r="J13" s="18" t="str">
        <f aca="false">IF($A13="","",COUNTIF('Daily Log'!$E$8:$E$500,$A13))</f>
        <v/>
      </c>
      <c r="K13" s="18" t="str">
        <f aca="false">IF($A13="","",IF(COUNTIF($A$6:$A$105,$A13)&gt;1,"DUPLICATE CODE",IF($B13="","needs a name","OK")))</f>
        <v/>
      </c>
    </row>
    <row r="14" customFormat="false" ht="15" hidden="false" customHeight="false" outlineLevel="0" collapsed="false">
      <c r="A14" s="20"/>
      <c r="B14" s="21"/>
      <c r="C14" s="20"/>
      <c r="D14" s="22"/>
      <c r="E14" s="20"/>
      <c r="F14" s="20"/>
      <c r="G14" s="20"/>
      <c r="H14" s="23"/>
      <c r="I14" s="24"/>
      <c r="J14" s="18" t="str">
        <f aca="false">IF($A14="","",COUNTIF('Daily Log'!$E$8:$E$500,$A14))</f>
        <v/>
      </c>
      <c r="K14" s="18" t="str">
        <f aca="false">IF($A14="","",IF(COUNTIF($A$6:$A$105,$A14)&gt;1,"DUPLICATE CODE",IF($B14="","needs a name","OK")))</f>
        <v/>
      </c>
    </row>
    <row r="15" customFormat="false" ht="15" hidden="false" customHeight="false" outlineLevel="0" collapsed="false">
      <c r="A15" s="20"/>
      <c r="B15" s="21"/>
      <c r="C15" s="20"/>
      <c r="D15" s="22"/>
      <c r="E15" s="20"/>
      <c r="F15" s="20"/>
      <c r="G15" s="20"/>
      <c r="H15" s="23"/>
      <c r="I15" s="24"/>
      <c r="J15" s="18" t="str">
        <f aca="false">IF($A15="","",COUNTIF('Daily Log'!$E$8:$E$500,$A15))</f>
        <v/>
      </c>
      <c r="K15" s="18" t="str">
        <f aca="false">IF($A15="","",IF(COUNTIF($A$6:$A$105,$A15)&gt;1,"DUPLICATE CODE",IF($B15="","needs a name","OK")))</f>
        <v/>
      </c>
    </row>
    <row r="16" customFormat="false" ht="15" hidden="false" customHeight="false" outlineLevel="0" collapsed="false">
      <c r="A16" s="20"/>
      <c r="B16" s="21"/>
      <c r="C16" s="20"/>
      <c r="D16" s="22"/>
      <c r="E16" s="20"/>
      <c r="F16" s="20"/>
      <c r="G16" s="20"/>
      <c r="H16" s="23"/>
      <c r="I16" s="24"/>
      <c r="J16" s="18" t="str">
        <f aca="false">IF($A16="","",COUNTIF('Daily Log'!$E$8:$E$500,$A16))</f>
        <v/>
      </c>
      <c r="K16" s="18" t="str">
        <f aca="false">IF($A16="","",IF(COUNTIF($A$6:$A$105,$A16)&gt;1,"DUPLICATE CODE",IF($B16="","needs a name","OK")))</f>
        <v/>
      </c>
    </row>
    <row r="17" customFormat="false" ht="15" hidden="false" customHeight="false" outlineLevel="0" collapsed="false">
      <c r="A17" s="20"/>
      <c r="B17" s="21"/>
      <c r="C17" s="20"/>
      <c r="D17" s="22"/>
      <c r="E17" s="20"/>
      <c r="F17" s="20"/>
      <c r="G17" s="20"/>
      <c r="H17" s="23"/>
      <c r="I17" s="24"/>
      <c r="J17" s="18" t="str">
        <f aca="false">IF($A17="","",COUNTIF('Daily Log'!$E$8:$E$500,$A17))</f>
        <v/>
      </c>
      <c r="K17" s="18" t="str">
        <f aca="false">IF($A17="","",IF(COUNTIF($A$6:$A$105,$A17)&gt;1,"DUPLICATE CODE",IF($B17="","needs a name","OK")))</f>
        <v/>
      </c>
    </row>
    <row r="18" customFormat="false" ht="15" hidden="false" customHeight="false" outlineLevel="0" collapsed="false">
      <c r="A18" s="20"/>
      <c r="B18" s="21"/>
      <c r="C18" s="20"/>
      <c r="D18" s="22"/>
      <c r="E18" s="20"/>
      <c r="F18" s="20"/>
      <c r="G18" s="20"/>
      <c r="H18" s="23"/>
      <c r="I18" s="24"/>
      <c r="J18" s="18" t="str">
        <f aca="false">IF($A18="","",COUNTIF('Daily Log'!$E$8:$E$500,$A18))</f>
        <v/>
      </c>
      <c r="K18" s="18" t="str">
        <f aca="false">IF($A18="","",IF(COUNTIF($A$6:$A$105,$A18)&gt;1,"DUPLICATE CODE",IF($B18="","needs a name","OK")))</f>
        <v/>
      </c>
    </row>
    <row r="19" customFormat="false" ht="15" hidden="false" customHeight="false" outlineLevel="0" collapsed="false">
      <c r="A19" s="20"/>
      <c r="B19" s="21"/>
      <c r="C19" s="20"/>
      <c r="D19" s="22"/>
      <c r="E19" s="20"/>
      <c r="F19" s="20"/>
      <c r="G19" s="20"/>
      <c r="H19" s="23"/>
      <c r="I19" s="24"/>
      <c r="J19" s="18" t="str">
        <f aca="false">IF($A19="","",COUNTIF('Daily Log'!$E$8:$E$500,$A19))</f>
        <v/>
      </c>
      <c r="K19" s="18" t="str">
        <f aca="false">IF($A19="","",IF(COUNTIF($A$6:$A$105,$A19)&gt;1,"DUPLICATE CODE",IF($B19="","needs a name","OK")))</f>
        <v/>
      </c>
    </row>
    <row r="20" customFormat="false" ht="15" hidden="false" customHeight="false" outlineLevel="0" collapsed="false">
      <c r="A20" s="20"/>
      <c r="B20" s="21"/>
      <c r="C20" s="20"/>
      <c r="D20" s="22"/>
      <c r="E20" s="20"/>
      <c r="F20" s="20"/>
      <c r="G20" s="20"/>
      <c r="H20" s="23"/>
      <c r="I20" s="24"/>
      <c r="J20" s="18" t="str">
        <f aca="false">IF($A20="","",COUNTIF('Daily Log'!$E$8:$E$500,$A20))</f>
        <v/>
      </c>
      <c r="K20" s="18" t="str">
        <f aca="false">IF($A20="","",IF(COUNTIF($A$6:$A$105,$A20)&gt;1,"DUPLICATE CODE",IF($B20="","needs a name","OK")))</f>
        <v/>
      </c>
    </row>
    <row r="21" customFormat="false" ht="15" hidden="false" customHeight="false" outlineLevel="0" collapsed="false">
      <c r="A21" s="20"/>
      <c r="B21" s="21"/>
      <c r="C21" s="20"/>
      <c r="D21" s="22"/>
      <c r="E21" s="20"/>
      <c r="F21" s="20"/>
      <c r="G21" s="20"/>
      <c r="H21" s="23"/>
      <c r="I21" s="24"/>
      <c r="J21" s="18" t="str">
        <f aca="false">IF($A21="","",COUNTIF('Daily Log'!$E$8:$E$500,$A21))</f>
        <v/>
      </c>
      <c r="K21" s="18" t="str">
        <f aca="false">IF($A21="","",IF(COUNTIF($A$6:$A$105,$A21)&gt;1,"DUPLICATE CODE",IF($B21="","needs a name","OK")))</f>
        <v/>
      </c>
    </row>
    <row r="22" customFormat="false" ht="15" hidden="false" customHeight="false" outlineLevel="0" collapsed="false">
      <c r="A22" s="20"/>
      <c r="B22" s="21"/>
      <c r="C22" s="20"/>
      <c r="D22" s="22"/>
      <c r="E22" s="20"/>
      <c r="F22" s="20"/>
      <c r="G22" s="20"/>
      <c r="H22" s="23"/>
      <c r="I22" s="24"/>
      <c r="J22" s="18" t="str">
        <f aca="false">IF($A22="","",COUNTIF('Daily Log'!$E$8:$E$500,$A22))</f>
        <v/>
      </c>
      <c r="K22" s="18" t="str">
        <f aca="false">IF($A22="","",IF(COUNTIF($A$6:$A$105,$A22)&gt;1,"DUPLICATE CODE",IF($B22="","needs a name","OK")))</f>
        <v/>
      </c>
    </row>
    <row r="23" customFormat="false" ht="15" hidden="false" customHeight="false" outlineLevel="0" collapsed="false">
      <c r="A23" s="20"/>
      <c r="B23" s="21"/>
      <c r="C23" s="20"/>
      <c r="D23" s="22"/>
      <c r="E23" s="20"/>
      <c r="F23" s="20"/>
      <c r="G23" s="20"/>
      <c r="H23" s="23"/>
      <c r="I23" s="24"/>
      <c r="J23" s="18" t="str">
        <f aca="false">IF($A23="","",COUNTIF('Daily Log'!$E$8:$E$500,$A23))</f>
        <v/>
      </c>
      <c r="K23" s="18" t="str">
        <f aca="false">IF($A23="","",IF(COUNTIF($A$6:$A$105,$A23)&gt;1,"DUPLICATE CODE",IF($B23="","needs a name","OK")))</f>
        <v/>
      </c>
    </row>
    <row r="24" customFormat="false" ht="15" hidden="false" customHeight="false" outlineLevel="0" collapsed="false">
      <c r="A24" s="20"/>
      <c r="B24" s="21"/>
      <c r="C24" s="20"/>
      <c r="D24" s="22"/>
      <c r="E24" s="20"/>
      <c r="F24" s="20"/>
      <c r="G24" s="20"/>
      <c r="H24" s="23"/>
      <c r="I24" s="24"/>
      <c r="J24" s="18" t="str">
        <f aca="false">IF($A24="","",COUNTIF('Daily Log'!$E$8:$E$500,$A24))</f>
        <v/>
      </c>
      <c r="K24" s="18" t="str">
        <f aca="false">IF($A24="","",IF(COUNTIF($A$6:$A$105,$A24)&gt;1,"DUPLICATE CODE",IF($B24="","needs a name","OK")))</f>
        <v/>
      </c>
    </row>
    <row r="25" customFormat="false" ht="15" hidden="false" customHeight="false" outlineLevel="0" collapsed="false">
      <c r="A25" s="20"/>
      <c r="B25" s="21"/>
      <c r="C25" s="20"/>
      <c r="D25" s="22"/>
      <c r="E25" s="20"/>
      <c r="F25" s="20"/>
      <c r="G25" s="20"/>
      <c r="H25" s="23"/>
      <c r="I25" s="24"/>
      <c r="J25" s="18" t="str">
        <f aca="false">IF($A25="","",COUNTIF('Daily Log'!$E$8:$E$500,$A25))</f>
        <v/>
      </c>
      <c r="K25" s="18" t="str">
        <f aca="false">IF($A25="","",IF(COUNTIF($A$6:$A$105,$A25)&gt;1,"DUPLICATE CODE",IF($B25="","needs a name","OK")))</f>
        <v/>
      </c>
    </row>
    <row r="26" customFormat="false" ht="15" hidden="false" customHeight="false" outlineLevel="0" collapsed="false">
      <c r="A26" s="20"/>
      <c r="B26" s="21"/>
      <c r="C26" s="20"/>
      <c r="D26" s="22"/>
      <c r="E26" s="20"/>
      <c r="F26" s="20"/>
      <c r="G26" s="20"/>
      <c r="H26" s="23"/>
      <c r="I26" s="24"/>
      <c r="J26" s="18" t="str">
        <f aca="false">IF($A26="","",COUNTIF('Daily Log'!$E$8:$E$500,$A26))</f>
        <v/>
      </c>
      <c r="K26" s="18" t="str">
        <f aca="false">IF($A26="","",IF(COUNTIF($A$6:$A$105,$A26)&gt;1,"DUPLICATE CODE",IF($B26="","needs a name","OK")))</f>
        <v/>
      </c>
    </row>
    <row r="27" customFormat="false" ht="15" hidden="false" customHeight="false" outlineLevel="0" collapsed="false">
      <c r="A27" s="20"/>
      <c r="B27" s="21"/>
      <c r="C27" s="20"/>
      <c r="D27" s="22"/>
      <c r="E27" s="20"/>
      <c r="F27" s="20"/>
      <c r="G27" s="20"/>
      <c r="H27" s="23"/>
      <c r="I27" s="24"/>
      <c r="J27" s="18" t="str">
        <f aca="false">IF($A27="","",COUNTIF('Daily Log'!$E$8:$E$500,$A27))</f>
        <v/>
      </c>
      <c r="K27" s="18" t="str">
        <f aca="false">IF($A27="","",IF(COUNTIF($A$6:$A$105,$A27)&gt;1,"DUPLICATE CODE",IF($B27="","needs a name","OK")))</f>
        <v/>
      </c>
    </row>
    <row r="28" customFormat="false" ht="15" hidden="false" customHeight="false" outlineLevel="0" collapsed="false">
      <c r="A28" s="20"/>
      <c r="B28" s="21"/>
      <c r="C28" s="20"/>
      <c r="D28" s="22"/>
      <c r="E28" s="20"/>
      <c r="F28" s="20"/>
      <c r="G28" s="20"/>
      <c r="H28" s="23"/>
      <c r="I28" s="24"/>
      <c r="J28" s="18" t="str">
        <f aca="false">IF($A28="","",COUNTIF('Daily Log'!$E$8:$E$500,$A28))</f>
        <v/>
      </c>
      <c r="K28" s="18" t="str">
        <f aca="false">IF($A28="","",IF(COUNTIF($A$6:$A$105,$A28)&gt;1,"DUPLICATE CODE",IF($B28="","needs a name","OK")))</f>
        <v/>
      </c>
    </row>
    <row r="29" customFormat="false" ht="15" hidden="false" customHeight="false" outlineLevel="0" collapsed="false">
      <c r="A29" s="20"/>
      <c r="B29" s="21"/>
      <c r="C29" s="20"/>
      <c r="D29" s="22"/>
      <c r="E29" s="20"/>
      <c r="F29" s="20"/>
      <c r="G29" s="20"/>
      <c r="H29" s="23"/>
      <c r="I29" s="24"/>
      <c r="J29" s="18" t="str">
        <f aca="false">IF($A29="","",COUNTIF('Daily Log'!$E$8:$E$500,$A29))</f>
        <v/>
      </c>
      <c r="K29" s="18" t="str">
        <f aca="false">IF($A29="","",IF(COUNTIF($A$6:$A$105,$A29)&gt;1,"DUPLICATE CODE",IF($B29="","needs a name","OK")))</f>
        <v/>
      </c>
    </row>
    <row r="30" customFormat="false" ht="15" hidden="false" customHeight="false" outlineLevel="0" collapsed="false">
      <c r="A30" s="20"/>
      <c r="B30" s="21"/>
      <c r="C30" s="20"/>
      <c r="D30" s="22"/>
      <c r="E30" s="20"/>
      <c r="F30" s="20"/>
      <c r="G30" s="20"/>
      <c r="H30" s="23"/>
      <c r="I30" s="24"/>
      <c r="J30" s="18" t="str">
        <f aca="false">IF($A30="","",COUNTIF('Daily Log'!$E$8:$E$500,$A30))</f>
        <v/>
      </c>
      <c r="K30" s="18" t="str">
        <f aca="false">IF($A30="","",IF(COUNTIF($A$6:$A$105,$A30)&gt;1,"DUPLICATE CODE",IF($B30="","needs a name","OK")))</f>
        <v/>
      </c>
    </row>
    <row r="31" customFormat="false" ht="15" hidden="false" customHeight="false" outlineLevel="0" collapsed="false">
      <c r="A31" s="20"/>
      <c r="B31" s="21"/>
      <c r="C31" s="20"/>
      <c r="D31" s="22"/>
      <c r="E31" s="20"/>
      <c r="F31" s="20"/>
      <c r="G31" s="20"/>
      <c r="H31" s="23"/>
      <c r="I31" s="24"/>
      <c r="J31" s="18" t="str">
        <f aca="false">IF($A31="","",COUNTIF('Daily Log'!$E$8:$E$500,$A31))</f>
        <v/>
      </c>
      <c r="K31" s="18" t="str">
        <f aca="false">IF($A31="","",IF(COUNTIF($A$6:$A$105,$A31)&gt;1,"DUPLICATE CODE",IF($B31="","needs a name","OK")))</f>
        <v/>
      </c>
    </row>
    <row r="32" customFormat="false" ht="15" hidden="false" customHeight="false" outlineLevel="0" collapsed="false">
      <c r="A32" s="20"/>
      <c r="B32" s="21"/>
      <c r="C32" s="20"/>
      <c r="D32" s="22"/>
      <c r="E32" s="20"/>
      <c r="F32" s="20"/>
      <c r="G32" s="20"/>
      <c r="H32" s="23"/>
      <c r="I32" s="24"/>
      <c r="J32" s="18" t="str">
        <f aca="false">IF($A32="","",COUNTIF('Daily Log'!$E$8:$E$500,$A32))</f>
        <v/>
      </c>
      <c r="K32" s="18" t="str">
        <f aca="false">IF($A32="","",IF(COUNTIF($A$6:$A$105,$A32)&gt;1,"DUPLICATE CODE",IF($B32="","needs a name","OK")))</f>
        <v/>
      </c>
    </row>
    <row r="33" customFormat="false" ht="15" hidden="false" customHeight="false" outlineLevel="0" collapsed="false">
      <c r="A33" s="20"/>
      <c r="B33" s="21"/>
      <c r="C33" s="20"/>
      <c r="D33" s="22"/>
      <c r="E33" s="20"/>
      <c r="F33" s="20"/>
      <c r="G33" s="20"/>
      <c r="H33" s="23"/>
      <c r="I33" s="24"/>
      <c r="J33" s="18" t="str">
        <f aca="false">IF($A33="","",COUNTIF('Daily Log'!$E$8:$E$500,$A33))</f>
        <v/>
      </c>
      <c r="K33" s="18" t="str">
        <f aca="false">IF($A33="","",IF(COUNTIF($A$6:$A$105,$A33)&gt;1,"DUPLICATE CODE",IF($B33="","needs a name","OK")))</f>
        <v/>
      </c>
    </row>
    <row r="34" customFormat="false" ht="15" hidden="false" customHeight="false" outlineLevel="0" collapsed="false">
      <c r="A34" s="20"/>
      <c r="B34" s="21"/>
      <c r="C34" s="20"/>
      <c r="D34" s="22"/>
      <c r="E34" s="20"/>
      <c r="F34" s="20"/>
      <c r="G34" s="20"/>
      <c r="H34" s="23"/>
      <c r="I34" s="24"/>
      <c r="J34" s="18" t="str">
        <f aca="false">IF($A34="","",COUNTIF('Daily Log'!$E$8:$E$500,$A34))</f>
        <v/>
      </c>
      <c r="K34" s="18" t="str">
        <f aca="false">IF($A34="","",IF(COUNTIF($A$6:$A$105,$A34)&gt;1,"DUPLICATE CODE",IF($B34="","needs a name","OK")))</f>
        <v/>
      </c>
    </row>
    <row r="35" customFormat="false" ht="15" hidden="false" customHeight="false" outlineLevel="0" collapsed="false">
      <c r="A35" s="20"/>
      <c r="B35" s="21"/>
      <c r="C35" s="20"/>
      <c r="D35" s="22"/>
      <c r="E35" s="20"/>
      <c r="F35" s="20"/>
      <c r="G35" s="20"/>
      <c r="H35" s="23"/>
      <c r="I35" s="24"/>
      <c r="J35" s="18" t="str">
        <f aca="false">IF($A35="","",COUNTIF('Daily Log'!$E$8:$E$500,$A35))</f>
        <v/>
      </c>
      <c r="K35" s="18" t="str">
        <f aca="false">IF($A35="","",IF(COUNTIF($A$6:$A$105,$A35)&gt;1,"DUPLICATE CODE",IF($B35="","needs a name","OK")))</f>
        <v/>
      </c>
    </row>
    <row r="36" customFormat="false" ht="15" hidden="false" customHeight="false" outlineLevel="0" collapsed="false">
      <c r="A36" s="20"/>
      <c r="B36" s="21"/>
      <c r="C36" s="20"/>
      <c r="D36" s="22"/>
      <c r="E36" s="20"/>
      <c r="F36" s="20"/>
      <c r="G36" s="20"/>
      <c r="H36" s="23"/>
      <c r="I36" s="24"/>
      <c r="J36" s="18" t="str">
        <f aca="false">IF($A36="","",COUNTIF('Daily Log'!$E$8:$E$500,$A36))</f>
        <v/>
      </c>
      <c r="K36" s="18" t="str">
        <f aca="false">IF($A36="","",IF(COUNTIF($A$6:$A$105,$A36)&gt;1,"DUPLICATE CODE",IF($B36="","needs a name","OK")))</f>
        <v/>
      </c>
    </row>
    <row r="37" customFormat="false" ht="15" hidden="false" customHeight="false" outlineLevel="0" collapsed="false">
      <c r="A37" s="20"/>
      <c r="B37" s="21"/>
      <c r="C37" s="20"/>
      <c r="D37" s="22"/>
      <c r="E37" s="20"/>
      <c r="F37" s="20"/>
      <c r="G37" s="20"/>
      <c r="H37" s="23"/>
      <c r="I37" s="24"/>
      <c r="J37" s="18" t="str">
        <f aca="false">IF($A37="","",COUNTIF('Daily Log'!$E$8:$E$500,$A37))</f>
        <v/>
      </c>
      <c r="K37" s="18" t="str">
        <f aca="false">IF($A37="","",IF(COUNTIF($A$6:$A$105,$A37)&gt;1,"DUPLICATE CODE",IF($B37="","needs a name","OK")))</f>
        <v/>
      </c>
    </row>
    <row r="38" customFormat="false" ht="15" hidden="false" customHeight="false" outlineLevel="0" collapsed="false">
      <c r="A38" s="20"/>
      <c r="B38" s="21"/>
      <c r="C38" s="20"/>
      <c r="D38" s="22"/>
      <c r="E38" s="20"/>
      <c r="F38" s="20"/>
      <c r="G38" s="20"/>
      <c r="H38" s="23"/>
      <c r="I38" s="24"/>
      <c r="J38" s="18" t="str">
        <f aca="false">IF($A38="","",COUNTIF('Daily Log'!$E$8:$E$500,$A38))</f>
        <v/>
      </c>
      <c r="K38" s="18" t="str">
        <f aca="false">IF($A38="","",IF(COUNTIF($A$6:$A$105,$A38)&gt;1,"DUPLICATE CODE",IF($B38="","needs a name","OK")))</f>
        <v/>
      </c>
    </row>
    <row r="39" customFormat="false" ht="15" hidden="false" customHeight="false" outlineLevel="0" collapsed="false">
      <c r="A39" s="20"/>
      <c r="B39" s="21"/>
      <c r="C39" s="20"/>
      <c r="D39" s="22"/>
      <c r="E39" s="20"/>
      <c r="F39" s="20"/>
      <c r="G39" s="20"/>
      <c r="H39" s="23"/>
      <c r="I39" s="24"/>
      <c r="J39" s="18" t="str">
        <f aca="false">IF($A39="","",COUNTIF('Daily Log'!$E$8:$E$500,$A39))</f>
        <v/>
      </c>
      <c r="K39" s="18" t="str">
        <f aca="false">IF($A39="","",IF(COUNTIF($A$6:$A$105,$A39)&gt;1,"DUPLICATE CODE",IF($B39="","needs a name","OK")))</f>
        <v/>
      </c>
    </row>
    <row r="40" customFormat="false" ht="15" hidden="false" customHeight="false" outlineLevel="0" collapsed="false">
      <c r="A40" s="20"/>
      <c r="B40" s="21"/>
      <c r="C40" s="20"/>
      <c r="D40" s="22"/>
      <c r="E40" s="20"/>
      <c r="F40" s="20"/>
      <c r="G40" s="20"/>
      <c r="H40" s="23"/>
      <c r="I40" s="24"/>
      <c r="J40" s="18" t="str">
        <f aca="false">IF($A40="","",COUNTIF('Daily Log'!$E$8:$E$500,$A40))</f>
        <v/>
      </c>
      <c r="K40" s="18" t="str">
        <f aca="false">IF($A40="","",IF(COUNTIF($A$6:$A$105,$A40)&gt;1,"DUPLICATE CODE",IF($B40="","needs a name","OK")))</f>
        <v/>
      </c>
    </row>
    <row r="41" customFormat="false" ht="15" hidden="false" customHeight="false" outlineLevel="0" collapsed="false">
      <c r="A41" s="20"/>
      <c r="B41" s="21"/>
      <c r="C41" s="20"/>
      <c r="D41" s="22"/>
      <c r="E41" s="20"/>
      <c r="F41" s="20"/>
      <c r="G41" s="20"/>
      <c r="H41" s="23"/>
      <c r="I41" s="24"/>
      <c r="J41" s="18" t="str">
        <f aca="false">IF($A41="","",COUNTIF('Daily Log'!$E$8:$E$500,$A41))</f>
        <v/>
      </c>
      <c r="K41" s="18" t="str">
        <f aca="false">IF($A41="","",IF(COUNTIF($A$6:$A$105,$A41)&gt;1,"DUPLICATE CODE",IF($B41="","needs a name","OK")))</f>
        <v/>
      </c>
    </row>
    <row r="42" customFormat="false" ht="15" hidden="false" customHeight="false" outlineLevel="0" collapsed="false">
      <c r="A42" s="20"/>
      <c r="B42" s="21"/>
      <c r="C42" s="20"/>
      <c r="D42" s="22"/>
      <c r="E42" s="20"/>
      <c r="F42" s="20"/>
      <c r="G42" s="20"/>
      <c r="H42" s="23"/>
      <c r="I42" s="24"/>
      <c r="J42" s="18" t="str">
        <f aca="false">IF($A42="","",COUNTIF('Daily Log'!$E$8:$E$500,$A42))</f>
        <v/>
      </c>
      <c r="K42" s="18" t="str">
        <f aca="false">IF($A42="","",IF(COUNTIF($A$6:$A$105,$A42)&gt;1,"DUPLICATE CODE",IF($B42="","needs a name","OK")))</f>
        <v/>
      </c>
    </row>
    <row r="43" customFormat="false" ht="15" hidden="false" customHeight="false" outlineLevel="0" collapsed="false">
      <c r="A43" s="20"/>
      <c r="B43" s="21"/>
      <c r="C43" s="20"/>
      <c r="D43" s="22"/>
      <c r="E43" s="20"/>
      <c r="F43" s="20"/>
      <c r="G43" s="20"/>
      <c r="H43" s="23"/>
      <c r="I43" s="24"/>
      <c r="J43" s="18" t="str">
        <f aca="false">IF($A43="","",COUNTIF('Daily Log'!$E$8:$E$500,$A43))</f>
        <v/>
      </c>
      <c r="K43" s="18" t="str">
        <f aca="false">IF($A43="","",IF(COUNTIF($A$6:$A$105,$A43)&gt;1,"DUPLICATE CODE",IF($B43="","needs a name","OK")))</f>
        <v/>
      </c>
    </row>
    <row r="44" customFormat="false" ht="15" hidden="false" customHeight="false" outlineLevel="0" collapsed="false">
      <c r="A44" s="20"/>
      <c r="B44" s="21"/>
      <c r="C44" s="20"/>
      <c r="D44" s="22"/>
      <c r="E44" s="20"/>
      <c r="F44" s="20"/>
      <c r="G44" s="20"/>
      <c r="H44" s="23"/>
      <c r="I44" s="24"/>
      <c r="J44" s="18" t="str">
        <f aca="false">IF($A44="","",COUNTIF('Daily Log'!$E$8:$E$500,$A44))</f>
        <v/>
      </c>
      <c r="K44" s="18" t="str">
        <f aca="false">IF($A44="","",IF(COUNTIF($A$6:$A$105,$A44)&gt;1,"DUPLICATE CODE",IF($B44="","needs a name","OK")))</f>
        <v/>
      </c>
    </row>
    <row r="45" customFormat="false" ht="15" hidden="false" customHeight="false" outlineLevel="0" collapsed="false">
      <c r="A45" s="20"/>
      <c r="B45" s="21"/>
      <c r="C45" s="20"/>
      <c r="D45" s="22"/>
      <c r="E45" s="20"/>
      <c r="F45" s="20"/>
      <c r="G45" s="20"/>
      <c r="H45" s="23"/>
      <c r="I45" s="24"/>
      <c r="J45" s="18" t="str">
        <f aca="false">IF($A45="","",COUNTIF('Daily Log'!$E$8:$E$500,$A45))</f>
        <v/>
      </c>
      <c r="K45" s="18" t="str">
        <f aca="false">IF($A45="","",IF(COUNTIF($A$6:$A$105,$A45)&gt;1,"DUPLICATE CODE",IF($B45="","needs a name","OK")))</f>
        <v/>
      </c>
    </row>
    <row r="46" customFormat="false" ht="15" hidden="false" customHeight="false" outlineLevel="0" collapsed="false">
      <c r="A46" s="20"/>
      <c r="B46" s="21"/>
      <c r="C46" s="20"/>
      <c r="D46" s="22"/>
      <c r="E46" s="20"/>
      <c r="F46" s="20"/>
      <c r="G46" s="20"/>
      <c r="H46" s="23"/>
      <c r="I46" s="24"/>
      <c r="J46" s="18" t="str">
        <f aca="false">IF($A46="","",COUNTIF('Daily Log'!$E$8:$E$500,$A46))</f>
        <v/>
      </c>
      <c r="K46" s="18" t="str">
        <f aca="false">IF($A46="","",IF(COUNTIF($A$6:$A$105,$A46)&gt;1,"DUPLICATE CODE",IF($B46="","needs a name","OK")))</f>
        <v/>
      </c>
    </row>
    <row r="47" customFormat="false" ht="15" hidden="false" customHeight="false" outlineLevel="0" collapsed="false">
      <c r="A47" s="20"/>
      <c r="B47" s="21"/>
      <c r="C47" s="20"/>
      <c r="D47" s="22"/>
      <c r="E47" s="20"/>
      <c r="F47" s="20"/>
      <c r="G47" s="20"/>
      <c r="H47" s="23"/>
      <c r="I47" s="24"/>
      <c r="J47" s="18" t="str">
        <f aca="false">IF($A47="","",COUNTIF('Daily Log'!$E$8:$E$500,$A47))</f>
        <v/>
      </c>
      <c r="K47" s="18" t="str">
        <f aca="false">IF($A47="","",IF(COUNTIF($A$6:$A$105,$A47)&gt;1,"DUPLICATE CODE",IF($B47="","needs a name","OK")))</f>
        <v/>
      </c>
    </row>
    <row r="48" customFormat="false" ht="15" hidden="false" customHeight="false" outlineLevel="0" collapsed="false">
      <c r="A48" s="20"/>
      <c r="B48" s="21"/>
      <c r="C48" s="20"/>
      <c r="D48" s="22"/>
      <c r="E48" s="20"/>
      <c r="F48" s="20"/>
      <c r="G48" s="20"/>
      <c r="H48" s="23"/>
      <c r="I48" s="24"/>
      <c r="J48" s="18" t="str">
        <f aca="false">IF($A48="","",COUNTIF('Daily Log'!$E$8:$E$500,$A48))</f>
        <v/>
      </c>
      <c r="K48" s="18" t="str">
        <f aca="false">IF($A48="","",IF(COUNTIF($A$6:$A$105,$A48)&gt;1,"DUPLICATE CODE",IF($B48="","needs a name","OK")))</f>
        <v/>
      </c>
    </row>
    <row r="49" customFormat="false" ht="15" hidden="false" customHeight="false" outlineLevel="0" collapsed="false">
      <c r="A49" s="20"/>
      <c r="B49" s="21"/>
      <c r="C49" s="20"/>
      <c r="D49" s="22"/>
      <c r="E49" s="20"/>
      <c r="F49" s="20"/>
      <c r="G49" s="20"/>
      <c r="H49" s="23"/>
      <c r="I49" s="24"/>
      <c r="J49" s="18" t="str">
        <f aca="false">IF($A49="","",COUNTIF('Daily Log'!$E$8:$E$500,$A49))</f>
        <v/>
      </c>
      <c r="K49" s="18" t="str">
        <f aca="false">IF($A49="","",IF(COUNTIF($A$6:$A$105,$A49)&gt;1,"DUPLICATE CODE",IF($B49="","needs a name","OK")))</f>
        <v/>
      </c>
    </row>
    <row r="50" customFormat="false" ht="15" hidden="false" customHeight="false" outlineLevel="0" collapsed="false">
      <c r="A50" s="20"/>
      <c r="B50" s="21"/>
      <c r="C50" s="20"/>
      <c r="D50" s="22"/>
      <c r="E50" s="20"/>
      <c r="F50" s="20"/>
      <c r="G50" s="20"/>
      <c r="H50" s="23"/>
      <c r="I50" s="24"/>
      <c r="J50" s="18" t="str">
        <f aca="false">IF($A50="","",COUNTIF('Daily Log'!$E$8:$E$500,$A50))</f>
        <v/>
      </c>
      <c r="K50" s="18" t="str">
        <f aca="false">IF($A50="","",IF(COUNTIF($A$6:$A$105,$A50)&gt;1,"DUPLICATE CODE",IF($B50="","needs a name","OK")))</f>
        <v/>
      </c>
    </row>
    <row r="51" customFormat="false" ht="15" hidden="false" customHeight="false" outlineLevel="0" collapsed="false">
      <c r="A51" s="20"/>
      <c r="B51" s="21"/>
      <c r="C51" s="20"/>
      <c r="D51" s="22"/>
      <c r="E51" s="20"/>
      <c r="F51" s="20"/>
      <c r="G51" s="20"/>
      <c r="H51" s="23"/>
      <c r="I51" s="24"/>
      <c r="J51" s="18" t="str">
        <f aca="false">IF($A51="","",COUNTIF('Daily Log'!$E$8:$E$500,$A51))</f>
        <v/>
      </c>
      <c r="K51" s="18" t="str">
        <f aca="false">IF($A51="","",IF(COUNTIF($A$6:$A$105,$A51)&gt;1,"DUPLICATE CODE",IF($B51="","needs a name","OK")))</f>
        <v/>
      </c>
    </row>
    <row r="52" customFormat="false" ht="15" hidden="false" customHeight="false" outlineLevel="0" collapsed="false">
      <c r="A52" s="20"/>
      <c r="B52" s="21"/>
      <c r="C52" s="20"/>
      <c r="D52" s="22"/>
      <c r="E52" s="20"/>
      <c r="F52" s="20"/>
      <c r="G52" s="20"/>
      <c r="H52" s="23"/>
      <c r="I52" s="24"/>
      <c r="J52" s="18" t="str">
        <f aca="false">IF($A52="","",COUNTIF('Daily Log'!$E$8:$E$500,$A52))</f>
        <v/>
      </c>
      <c r="K52" s="18" t="str">
        <f aca="false">IF($A52="","",IF(COUNTIF($A$6:$A$105,$A52)&gt;1,"DUPLICATE CODE",IF($B52="","needs a name","OK")))</f>
        <v/>
      </c>
    </row>
    <row r="53" customFormat="false" ht="15" hidden="false" customHeight="false" outlineLevel="0" collapsed="false">
      <c r="A53" s="20"/>
      <c r="B53" s="21"/>
      <c r="C53" s="20"/>
      <c r="D53" s="22"/>
      <c r="E53" s="20"/>
      <c r="F53" s="20"/>
      <c r="G53" s="20"/>
      <c r="H53" s="23"/>
      <c r="I53" s="24"/>
      <c r="J53" s="18" t="str">
        <f aca="false">IF($A53="","",COUNTIF('Daily Log'!$E$8:$E$500,$A53))</f>
        <v/>
      </c>
      <c r="K53" s="18" t="str">
        <f aca="false">IF($A53="","",IF(COUNTIF($A$6:$A$105,$A53)&gt;1,"DUPLICATE CODE",IF($B53="","needs a name","OK")))</f>
        <v/>
      </c>
    </row>
    <row r="54" customFormat="false" ht="15" hidden="false" customHeight="false" outlineLevel="0" collapsed="false">
      <c r="A54" s="20"/>
      <c r="B54" s="21"/>
      <c r="C54" s="20"/>
      <c r="D54" s="22"/>
      <c r="E54" s="20"/>
      <c r="F54" s="20"/>
      <c r="G54" s="20"/>
      <c r="H54" s="23"/>
      <c r="I54" s="24"/>
      <c r="J54" s="18" t="str">
        <f aca="false">IF($A54="","",COUNTIF('Daily Log'!$E$8:$E$500,$A54))</f>
        <v/>
      </c>
      <c r="K54" s="18" t="str">
        <f aca="false">IF($A54="","",IF(COUNTIF($A$6:$A$105,$A54)&gt;1,"DUPLICATE CODE",IF($B54="","needs a name","OK")))</f>
        <v/>
      </c>
    </row>
    <row r="55" customFormat="false" ht="15" hidden="false" customHeight="false" outlineLevel="0" collapsed="false">
      <c r="A55" s="20"/>
      <c r="B55" s="21"/>
      <c r="C55" s="20"/>
      <c r="D55" s="22"/>
      <c r="E55" s="20"/>
      <c r="F55" s="20"/>
      <c r="G55" s="20"/>
      <c r="H55" s="23"/>
      <c r="I55" s="24"/>
      <c r="J55" s="18" t="str">
        <f aca="false">IF($A55="","",COUNTIF('Daily Log'!$E$8:$E$500,$A55))</f>
        <v/>
      </c>
      <c r="K55" s="18" t="str">
        <f aca="false">IF($A55="","",IF(COUNTIF($A$6:$A$105,$A55)&gt;1,"DUPLICATE CODE",IF($B55="","needs a name","OK")))</f>
        <v/>
      </c>
    </row>
    <row r="56" customFormat="false" ht="15" hidden="false" customHeight="false" outlineLevel="0" collapsed="false">
      <c r="A56" s="20"/>
      <c r="B56" s="21"/>
      <c r="C56" s="20"/>
      <c r="D56" s="22"/>
      <c r="E56" s="20"/>
      <c r="F56" s="20"/>
      <c r="G56" s="20"/>
      <c r="H56" s="23"/>
      <c r="I56" s="24"/>
      <c r="J56" s="18" t="str">
        <f aca="false">IF($A56="","",COUNTIF('Daily Log'!$E$8:$E$500,$A56))</f>
        <v/>
      </c>
      <c r="K56" s="18" t="str">
        <f aca="false">IF($A56="","",IF(COUNTIF($A$6:$A$105,$A56)&gt;1,"DUPLICATE CODE",IF($B56="","needs a name","OK")))</f>
        <v/>
      </c>
    </row>
    <row r="57" customFormat="false" ht="15" hidden="false" customHeight="false" outlineLevel="0" collapsed="false">
      <c r="A57" s="20"/>
      <c r="B57" s="21"/>
      <c r="C57" s="20"/>
      <c r="D57" s="22"/>
      <c r="E57" s="20"/>
      <c r="F57" s="20"/>
      <c r="G57" s="20"/>
      <c r="H57" s="23"/>
      <c r="I57" s="24"/>
      <c r="J57" s="18" t="str">
        <f aca="false">IF($A57="","",COUNTIF('Daily Log'!$E$8:$E$500,$A57))</f>
        <v/>
      </c>
      <c r="K57" s="18" t="str">
        <f aca="false">IF($A57="","",IF(COUNTIF($A$6:$A$105,$A57)&gt;1,"DUPLICATE CODE",IF($B57="","needs a name","OK")))</f>
        <v/>
      </c>
    </row>
    <row r="58" customFormat="false" ht="15" hidden="false" customHeight="false" outlineLevel="0" collapsed="false">
      <c r="A58" s="20"/>
      <c r="B58" s="21"/>
      <c r="C58" s="20"/>
      <c r="D58" s="22"/>
      <c r="E58" s="20"/>
      <c r="F58" s="20"/>
      <c r="G58" s="20"/>
      <c r="H58" s="23"/>
      <c r="I58" s="24"/>
      <c r="J58" s="18" t="str">
        <f aca="false">IF($A58="","",COUNTIF('Daily Log'!$E$8:$E$500,$A58))</f>
        <v/>
      </c>
      <c r="K58" s="18" t="str">
        <f aca="false">IF($A58="","",IF(COUNTIF($A$6:$A$105,$A58)&gt;1,"DUPLICATE CODE",IF($B58="","needs a name","OK")))</f>
        <v/>
      </c>
    </row>
    <row r="59" customFormat="false" ht="15" hidden="false" customHeight="false" outlineLevel="0" collapsed="false">
      <c r="A59" s="20"/>
      <c r="B59" s="21"/>
      <c r="C59" s="20"/>
      <c r="D59" s="22"/>
      <c r="E59" s="20"/>
      <c r="F59" s="20"/>
      <c r="G59" s="20"/>
      <c r="H59" s="23"/>
      <c r="I59" s="24"/>
      <c r="J59" s="18" t="str">
        <f aca="false">IF($A59="","",COUNTIF('Daily Log'!$E$8:$E$500,$A59))</f>
        <v/>
      </c>
      <c r="K59" s="18" t="str">
        <f aca="false">IF($A59="","",IF(COUNTIF($A$6:$A$105,$A59)&gt;1,"DUPLICATE CODE",IF($B59="","needs a name","OK")))</f>
        <v/>
      </c>
    </row>
    <row r="60" customFormat="false" ht="15" hidden="false" customHeight="false" outlineLevel="0" collapsed="false">
      <c r="A60" s="20"/>
      <c r="B60" s="21"/>
      <c r="C60" s="20"/>
      <c r="D60" s="22"/>
      <c r="E60" s="20"/>
      <c r="F60" s="20"/>
      <c r="G60" s="20"/>
      <c r="H60" s="23"/>
      <c r="I60" s="24"/>
      <c r="J60" s="18" t="str">
        <f aca="false">IF($A60="","",COUNTIF('Daily Log'!$E$8:$E$500,$A60))</f>
        <v/>
      </c>
      <c r="K60" s="18" t="str">
        <f aca="false">IF($A60="","",IF(COUNTIF($A$6:$A$105,$A60)&gt;1,"DUPLICATE CODE",IF($B60="","needs a name","OK")))</f>
        <v/>
      </c>
    </row>
    <row r="61" customFormat="false" ht="15" hidden="false" customHeight="false" outlineLevel="0" collapsed="false">
      <c r="A61" s="20"/>
      <c r="B61" s="21"/>
      <c r="C61" s="20"/>
      <c r="D61" s="22"/>
      <c r="E61" s="20"/>
      <c r="F61" s="20"/>
      <c r="G61" s="20"/>
      <c r="H61" s="23"/>
      <c r="I61" s="24"/>
      <c r="J61" s="18" t="str">
        <f aca="false">IF($A61="","",COUNTIF('Daily Log'!$E$8:$E$500,$A61))</f>
        <v/>
      </c>
      <c r="K61" s="18" t="str">
        <f aca="false">IF($A61="","",IF(COUNTIF($A$6:$A$105,$A61)&gt;1,"DUPLICATE CODE",IF($B61="","needs a name","OK")))</f>
        <v/>
      </c>
    </row>
    <row r="62" customFormat="false" ht="15" hidden="false" customHeight="false" outlineLevel="0" collapsed="false">
      <c r="A62" s="20"/>
      <c r="B62" s="21"/>
      <c r="C62" s="20"/>
      <c r="D62" s="22"/>
      <c r="E62" s="20"/>
      <c r="F62" s="20"/>
      <c r="G62" s="20"/>
      <c r="H62" s="23"/>
      <c r="I62" s="24"/>
      <c r="J62" s="18" t="str">
        <f aca="false">IF($A62="","",COUNTIF('Daily Log'!$E$8:$E$500,$A62))</f>
        <v/>
      </c>
      <c r="K62" s="18" t="str">
        <f aca="false">IF($A62="","",IF(COUNTIF($A$6:$A$105,$A62)&gt;1,"DUPLICATE CODE",IF($B62="","needs a name","OK")))</f>
        <v/>
      </c>
    </row>
    <row r="63" customFormat="false" ht="15" hidden="false" customHeight="false" outlineLevel="0" collapsed="false">
      <c r="A63" s="20"/>
      <c r="B63" s="21"/>
      <c r="C63" s="20"/>
      <c r="D63" s="22"/>
      <c r="E63" s="20"/>
      <c r="F63" s="20"/>
      <c r="G63" s="20"/>
      <c r="H63" s="23"/>
      <c r="I63" s="24"/>
      <c r="J63" s="18" t="str">
        <f aca="false">IF($A63="","",COUNTIF('Daily Log'!$E$8:$E$500,$A63))</f>
        <v/>
      </c>
      <c r="K63" s="18" t="str">
        <f aca="false">IF($A63="","",IF(COUNTIF($A$6:$A$105,$A63)&gt;1,"DUPLICATE CODE",IF($B63="","needs a name","OK")))</f>
        <v/>
      </c>
    </row>
    <row r="64" customFormat="false" ht="15" hidden="false" customHeight="false" outlineLevel="0" collapsed="false">
      <c r="A64" s="20"/>
      <c r="B64" s="21"/>
      <c r="C64" s="20"/>
      <c r="D64" s="22"/>
      <c r="E64" s="20"/>
      <c r="F64" s="20"/>
      <c r="G64" s="20"/>
      <c r="H64" s="23"/>
      <c r="I64" s="24"/>
      <c r="J64" s="18" t="str">
        <f aca="false">IF($A64="","",COUNTIF('Daily Log'!$E$8:$E$500,$A64))</f>
        <v/>
      </c>
      <c r="K64" s="18" t="str">
        <f aca="false">IF($A64="","",IF(COUNTIF($A$6:$A$105,$A64)&gt;1,"DUPLICATE CODE",IF($B64="","needs a name","OK")))</f>
        <v/>
      </c>
    </row>
    <row r="65" customFormat="false" ht="15" hidden="false" customHeight="false" outlineLevel="0" collapsed="false">
      <c r="A65" s="20"/>
      <c r="B65" s="21"/>
      <c r="C65" s="20"/>
      <c r="D65" s="22"/>
      <c r="E65" s="20"/>
      <c r="F65" s="20"/>
      <c r="G65" s="20"/>
      <c r="H65" s="23"/>
      <c r="I65" s="24"/>
      <c r="J65" s="18" t="str">
        <f aca="false">IF($A65="","",COUNTIF('Daily Log'!$E$8:$E$500,$A65))</f>
        <v/>
      </c>
      <c r="K65" s="18" t="str">
        <f aca="false">IF($A65="","",IF(COUNTIF($A$6:$A$105,$A65)&gt;1,"DUPLICATE CODE",IF($B65="","needs a name","OK")))</f>
        <v/>
      </c>
    </row>
    <row r="66" customFormat="false" ht="15" hidden="false" customHeight="false" outlineLevel="0" collapsed="false">
      <c r="A66" s="20"/>
      <c r="B66" s="21"/>
      <c r="C66" s="20"/>
      <c r="D66" s="22"/>
      <c r="E66" s="20"/>
      <c r="F66" s="20"/>
      <c r="G66" s="20"/>
      <c r="H66" s="23"/>
      <c r="I66" s="24"/>
      <c r="J66" s="18" t="str">
        <f aca="false">IF($A66="","",COUNTIF('Daily Log'!$E$8:$E$500,$A66))</f>
        <v/>
      </c>
      <c r="K66" s="18" t="str">
        <f aca="false">IF($A66="","",IF(COUNTIF($A$6:$A$105,$A66)&gt;1,"DUPLICATE CODE",IF($B66="","needs a name","OK")))</f>
        <v/>
      </c>
    </row>
    <row r="67" customFormat="false" ht="15" hidden="false" customHeight="false" outlineLevel="0" collapsed="false">
      <c r="A67" s="20"/>
      <c r="B67" s="21"/>
      <c r="C67" s="20"/>
      <c r="D67" s="22"/>
      <c r="E67" s="20"/>
      <c r="F67" s="20"/>
      <c r="G67" s="20"/>
      <c r="H67" s="23"/>
      <c r="I67" s="24"/>
      <c r="J67" s="18" t="str">
        <f aca="false">IF($A67="","",COUNTIF('Daily Log'!$E$8:$E$500,$A67))</f>
        <v/>
      </c>
      <c r="K67" s="18" t="str">
        <f aca="false">IF($A67="","",IF(COUNTIF($A$6:$A$105,$A67)&gt;1,"DUPLICATE CODE",IF($B67="","needs a name","OK")))</f>
        <v/>
      </c>
    </row>
    <row r="68" customFormat="false" ht="15" hidden="false" customHeight="false" outlineLevel="0" collapsed="false">
      <c r="A68" s="20"/>
      <c r="B68" s="21"/>
      <c r="C68" s="20"/>
      <c r="D68" s="22"/>
      <c r="E68" s="20"/>
      <c r="F68" s="20"/>
      <c r="G68" s="20"/>
      <c r="H68" s="23"/>
      <c r="I68" s="24"/>
      <c r="J68" s="18" t="str">
        <f aca="false">IF($A68="","",COUNTIF('Daily Log'!$E$8:$E$500,$A68))</f>
        <v/>
      </c>
      <c r="K68" s="18" t="str">
        <f aca="false">IF($A68="","",IF(COUNTIF($A$6:$A$105,$A68)&gt;1,"DUPLICATE CODE",IF($B68="","needs a name","OK")))</f>
        <v/>
      </c>
    </row>
    <row r="69" customFormat="false" ht="15" hidden="false" customHeight="false" outlineLevel="0" collapsed="false">
      <c r="A69" s="20"/>
      <c r="B69" s="21"/>
      <c r="C69" s="20"/>
      <c r="D69" s="22"/>
      <c r="E69" s="20"/>
      <c r="F69" s="20"/>
      <c r="G69" s="20"/>
      <c r="H69" s="23"/>
      <c r="I69" s="24"/>
      <c r="J69" s="18" t="str">
        <f aca="false">IF($A69="","",COUNTIF('Daily Log'!$E$8:$E$500,$A69))</f>
        <v/>
      </c>
      <c r="K69" s="18" t="str">
        <f aca="false">IF($A69="","",IF(COUNTIF($A$6:$A$105,$A69)&gt;1,"DUPLICATE CODE",IF($B69="","needs a name","OK")))</f>
        <v/>
      </c>
    </row>
    <row r="70" customFormat="false" ht="15" hidden="false" customHeight="false" outlineLevel="0" collapsed="false">
      <c r="A70" s="20"/>
      <c r="B70" s="21"/>
      <c r="C70" s="20"/>
      <c r="D70" s="22"/>
      <c r="E70" s="20"/>
      <c r="F70" s="20"/>
      <c r="G70" s="20"/>
      <c r="H70" s="23"/>
      <c r="I70" s="24"/>
      <c r="J70" s="18" t="str">
        <f aca="false">IF($A70="","",COUNTIF('Daily Log'!$E$8:$E$500,$A70))</f>
        <v/>
      </c>
      <c r="K70" s="18" t="str">
        <f aca="false">IF($A70="","",IF(COUNTIF($A$6:$A$105,$A70)&gt;1,"DUPLICATE CODE",IF($B70="","needs a name","OK")))</f>
        <v/>
      </c>
    </row>
    <row r="71" customFormat="false" ht="15" hidden="false" customHeight="false" outlineLevel="0" collapsed="false">
      <c r="A71" s="20"/>
      <c r="B71" s="21"/>
      <c r="C71" s="20"/>
      <c r="D71" s="22"/>
      <c r="E71" s="20"/>
      <c r="F71" s="20"/>
      <c r="G71" s="20"/>
      <c r="H71" s="23"/>
      <c r="I71" s="24"/>
      <c r="J71" s="18" t="str">
        <f aca="false">IF($A71="","",COUNTIF('Daily Log'!$E$8:$E$500,$A71))</f>
        <v/>
      </c>
      <c r="K71" s="18" t="str">
        <f aca="false">IF($A71="","",IF(COUNTIF($A$6:$A$105,$A71)&gt;1,"DUPLICATE CODE",IF($B71="","needs a name","OK")))</f>
        <v/>
      </c>
    </row>
    <row r="72" customFormat="false" ht="15" hidden="false" customHeight="false" outlineLevel="0" collapsed="false">
      <c r="A72" s="20"/>
      <c r="B72" s="21"/>
      <c r="C72" s="20"/>
      <c r="D72" s="22"/>
      <c r="E72" s="20"/>
      <c r="F72" s="20"/>
      <c r="G72" s="20"/>
      <c r="H72" s="23"/>
      <c r="I72" s="24"/>
      <c r="J72" s="18" t="str">
        <f aca="false">IF($A72="","",COUNTIF('Daily Log'!$E$8:$E$500,$A72))</f>
        <v/>
      </c>
      <c r="K72" s="18" t="str">
        <f aca="false">IF($A72="","",IF(COUNTIF($A$6:$A$105,$A72)&gt;1,"DUPLICATE CODE",IF($B72="","needs a name","OK")))</f>
        <v/>
      </c>
    </row>
    <row r="73" customFormat="false" ht="15" hidden="false" customHeight="false" outlineLevel="0" collapsed="false">
      <c r="A73" s="20"/>
      <c r="B73" s="21"/>
      <c r="C73" s="20"/>
      <c r="D73" s="22"/>
      <c r="E73" s="20"/>
      <c r="F73" s="20"/>
      <c r="G73" s="20"/>
      <c r="H73" s="23"/>
      <c r="I73" s="24"/>
      <c r="J73" s="18" t="str">
        <f aca="false">IF($A73="","",COUNTIF('Daily Log'!$E$8:$E$500,$A73))</f>
        <v/>
      </c>
      <c r="K73" s="18" t="str">
        <f aca="false">IF($A73="","",IF(COUNTIF($A$6:$A$105,$A73)&gt;1,"DUPLICATE CODE",IF($B73="","needs a name","OK")))</f>
        <v/>
      </c>
    </row>
    <row r="74" customFormat="false" ht="15" hidden="false" customHeight="false" outlineLevel="0" collapsed="false">
      <c r="A74" s="20"/>
      <c r="B74" s="21"/>
      <c r="C74" s="20"/>
      <c r="D74" s="22"/>
      <c r="E74" s="20"/>
      <c r="F74" s="20"/>
      <c r="G74" s="20"/>
      <c r="H74" s="23"/>
      <c r="I74" s="24"/>
      <c r="J74" s="18" t="str">
        <f aca="false">IF($A74="","",COUNTIF('Daily Log'!$E$8:$E$500,$A74))</f>
        <v/>
      </c>
      <c r="K74" s="18" t="str">
        <f aca="false">IF($A74="","",IF(COUNTIF($A$6:$A$105,$A74)&gt;1,"DUPLICATE CODE",IF($B74="","needs a name","OK")))</f>
        <v/>
      </c>
    </row>
    <row r="75" customFormat="false" ht="15" hidden="false" customHeight="false" outlineLevel="0" collapsed="false">
      <c r="A75" s="20"/>
      <c r="B75" s="21"/>
      <c r="C75" s="20"/>
      <c r="D75" s="22"/>
      <c r="E75" s="20"/>
      <c r="F75" s="20"/>
      <c r="G75" s="20"/>
      <c r="H75" s="23"/>
      <c r="I75" s="24"/>
      <c r="J75" s="18" t="str">
        <f aca="false">IF($A75="","",COUNTIF('Daily Log'!$E$8:$E$500,$A75))</f>
        <v/>
      </c>
      <c r="K75" s="18" t="str">
        <f aca="false">IF($A75="","",IF(COUNTIF($A$6:$A$105,$A75)&gt;1,"DUPLICATE CODE",IF($B75="","needs a name","OK")))</f>
        <v/>
      </c>
    </row>
    <row r="76" customFormat="false" ht="15" hidden="false" customHeight="false" outlineLevel="0" collapsed="false">
      <c r="A76" s="20"/>
      <c r="B76" s="21"/>
      <c r="C76" s="20"/>
      <c r="D76" s="22"/>
      <c r="E76" s="20"/>
      <c r="F76" s="20"/>
      <c r="G76" s="20"/>
      <c r="H76" s="23"/>
      <c r="I76" s="24"/>
      <c r="J76" s="18" t="str">
        <f aca="false">IF($A76="","",COUNTIF('Daily Log'!$E$8:$E$500,$A76))</f>
        <v/>
      </c>
      <c r="K76" s="18" t="str">
        <f aca="false">IF($A76="","",IF(COUNTIF($A$6:$A$105,$A76)&gt;1,"DUPLICATE CODE",IF($B76="","needs a name","OK")))</f>
        <v/>
      </c>
    </row>
    <row r="77" customFormat="false" ht="15" hidden="false" customHeight="false" outlineLevel="0" collapsed="false">
      <c r="A77" s="20"/>
      <c r="B77" s="21"/>
      <c r="C77" s="20"/>
      <c r="D77" s="22"/>
      <c r="E77" s="20"/>
      <c r="F77" s="20"/>
      <c r="G77" s="20"/>
      <c r="H77" s="23"/>
      <c r="I77" s="24"/>
      <c r="J77" s="18" t="str">
        <f aca="false">IF($A77="","",COUNTIF('Daily Log'!$E$8:$E$500,$A77))</f>
        <v/>
      </c>
      <c r="K77" s="18" t="str">
        <f aca="false">IF($A77="","",IF(COUNTIF($A$6:$A$105,$A77)&gt;1,"DUPLICATE CODE",IF($B77="","needs a name","OK")))</f>
        <v/>
      </c>
    </row>
    <row r="78" customFormat="false" ht="15" hidden="false" customHeight="false" outlineLevel="0" collapsed="false">
      <c r="A78" s="20"/>
      <c r="B78" s="21"/>
      <c r="C78" s="20"/>
      <c r="D78" s="22"/>
      <c r="E78" s="20"/>
      <c r="F78" s="20"/>
      <c r="G78" s="20"/>
      <c r="H78" s="23"/>
      <c r="I78" s="24"/>
      <c r="J78" s="18" t="str">
        <f aca="false">IF($A78="","",COUNTIF('Daily Log'!$E$8:$E$500,$A78))</f>
        <v/>
      </c>
      <c r="K78" s="18" t="str">
        <f aca="false">IF($A78="","",IF(COUNTIF($A$6:$A$105,$A78)&gt;1,"DUPLICATE CODE",IF($B78="","needs a name","OK")))</f>
        <v/>
      </c>
    </row>
    <row r="79" customFormat="false" ht="15" hidden="false" customHeight="false" outlineLevel="0" collapsed="false">
      <c r="A79" s="20"/>
      <c r="B79" s="21"/>
      <c r="C79" s="20"/>
      <c r="D79" s="22"/>
      <c r="E79" s="20"/>
      <c r="F79" s="20"/>
      <c r="G79" s="20"/>
      <c r="H79" s="23"/>
      <c r="I79" s="24"/>
      <c r="J79" s="18" t="str">
        <f aca="false">IF($A79="","",COUNTIF('Daily Log'!$E$8:$E$500,$A79))</f>
        <v/>
      </c>
      <c r="K79" s="18" t="str">
        <f aca="false">IF($A79="","",IF(COUNTIF($A$6:$A$105,$A79)&gt;1,"DUPLICATE CODE",IF($B79="","needs a name","OK")))</f>
        <v/>
      </c>
    </row>
    <row r="80" customFormat="false" ht="15" hidden="false" customHeight="false" outlineLevel="0" collapsed="false">
      <c r="A80" s="20"/>
      <c r="B80" s="21"/>
      <c r="C80" s="20"/>
      <c r="D80" s="22"/>
      <c r="E80" s="20"/>
      <c r="F80" s="20"/>
      <c r="G80" s="20"/>
      <c r="H80" s="23"/>
      <c r="I80" s="24"/>
      <c r="J80" s="18" t="str">
        <f aca="false">IF($A80="","",COUNTIF('Daily Log'!$E$8:$E$500,$A80))</f>
        <v/>
      </c>
      <c r="K80" s="18" t="str">
        <f aca="false">IF($A80="","",IF(COUNTIF($A$6:$A$105,$A80)&gt;1,"DUPLICATE CODE",IF($B80="","needs a name","OK")))</f>
        <v/>
      </c>
    </row>
    <row r="81" customFormat="false" ht="15" hidden="false" customHeight="false" outlineLevel="0" collapsed="false">
      <c r="A81" s="20"/>
      <c r="B81" s="21"/>
      <c r="C81" s="20"/>
      <c r="D81" s="22"/>
      <c r="E81" s="20"/>
      <c r="F81" s="20"/>
      <c r="G81" s="20"/>
      <c r="H81" s="23"/>
      <c r="I81" s="24"/>
      <c r="J81" s="18" t="str">
        <f aca="false">IF($A81="","",COUNTIF('Daily Log'!$E$8:$E$500,$A81))</f>
        <v/>
      </c>
      <c r="K81" s="18" t="str">
        <f aca="false">IF($A81="","",IF(COUNTIF($A$6:$A$105,$A81)&gt;1,"DUPLICATE CODE",IF($B81="","needs a name","OK")))</f>
        <v/>
      </c>
    </row>
    <row r="82" customFormat="false" ht="15" hidden="false" customHeight="false" outlineLevel="0" collapsed="false">
      <c r="A82" s="20"/>
      <c r="B82" s="21"/>
      <c r="C82" s="20"/>
      <c r="D82" s="22"/>
      <c r="E82" s="20"/>
      <c r="F82" s="20"/>
      <c r="G82" s="20"/>
      <c r="H82" s="23"/>
      <c r="I82" s="24"/>
      <c r="J82" s="18" t="str">
        <f aca="false">IF($A82="","",COUNTIF('Daily Log'!$E$8:$E$500,$A82))</f>
        <v/>
      </c>
      <c r="K82" s="18" t="str">
        <f aca="false">IF($A82="","",IF(COUNTIF($A$6:$A$105,$A82)&gt;1,"DUPLICATE CODE",IF($B82="","needs a name","OK")))</f>
        <v/>
      </c>
    </row>
    <row r="83" customFormat="false" ht="15" hidden="false" customHeight="false" outlineLevel="0" collapsed="false">
      <c r="A83" s="20"/>
      <c r="B83" s="21"/>
      <c r="C83" s="20"/>
      <c r="D83" s="22"/>
      <c r="E83" s="20"/>
      <c r="F83" s="20"/>
      <c r="G83" s="20"/>
      <c r="H83" s="23"/>
      <c r="I83" s="24"/>
      <c r="J83" s="18" t="str">
        <f aca="false">IF($A83="","",COUNTIF('Daily Log'!$E$8:$E$500,$A83))</f>
        <v/>
      </c>
      <c r="K83" s="18" t="str">
        <f aca="false">IF($A83="","",IF(COUNTIF($A$6:$A$105,$A83)&gt;1,"DUPLICATE CODE",IF($B83="","needs a name","OK")))</f>
        <v/>
      </c>
    </row>
    <row r="84" customFormat="false" ht="15" hidden="false" customHeight="false" outlineLevel="0" collapsed="false">
      <c r="A84" s="20"/>
      <c r="B84" s="21"/>
      <c r="C84" s="20"/>
      <c r="D84" s="22"/>
      <c r="E84" s="20"/>
      <c r="F84" s="20"/>
      <c r="G84" s="20"/>
      <c r="H84" s="23"/>
      <c r="I84" s="24"/>
      <c r="J84" s="18" t="str">
        <f aca="false">IF($A84="","",COUNTIF('Daily Log'!$E$8:$E$500,$A84))</f>
        <v/>
      </c>
      <c r="K84" s="18" t="str">
        <f aca="false">IF($A84="","",IF(COUNTIF($A$6:$A$105,$A84)&gt;1,"DUPLICATE CODE",IF($B84="","needs a name","OK")))</f>
        <v/>
      </c>
    </row>
    <row r="85" customFormat="false" ht="15" hidden="false" customHeight="false" outlineLevel="0" collapsed="false">
      <c r="A85" s="20"/>
      <c r="B85" s="21"/>
      <c r="C85" s="20"/>
      <c r="D85" s="22"/>
      <c r="E85" s="20"/>
      <c r="F85" s="20"/>
      <c r="G85" s="20"/>
      <c r="H85" s="23"/>
      <c r="I85" s="24"/>
      <c r="J85" s="18" t="str">
        <f aca="false">IF($A85="","",COUNTIF('Daily Log'!$E$8:$E$500,$A85))</f>
        <v/>
      </c>
      <c r="K85" s="18" t="str">
        <f aca="false">IF($A85="","",IF(COUNTIF($A$6:$A$105,$A85)&gt;1,"DUPLICATE CODE",IF($B85="","needs a name","OK")))</f>
        <v/>
      </c>
    </row>
    <row r="86" customFormat="false" ht="15" hidden="false" customHeight="false" outlineLevel="0" collapsed="false">
      <c r="A86" s="20"/>
      <c r="B86" s="21"/>
      <c r="C86" s="20"/>
      <c r="D86" s="22"/>
      <c r="E86" s="20"/>
      <c r="F86" s="20"/>
      <c r="G86" s="20"/>
      <c r="H86" s="23"/>
      <c r="I86" s="24"/>
      <c r="J86" s="18" t="str">
        <f aca="false">IF($A86="","",COUNTIF('Daily Log'!$E$8:$E$500,$A86))</f>
        <v/>
      </c>
      <c r="K86" s="18" t="str">
        <f aca="false">IF($A86="","",IF(COUNTIF($A$6:$A$105,$A86)&gt;1,"DUPLICATE CODE",IF($B86="","needs a name","OK")))</f>
        <v/>
      </c>
    </row>
    <row r="87" customFormat="false" ht="15" hidden="false" customHeight="false" outlineLevel="0" collapsed="false">
      <c r="A87" s="20"/>
      <c r="B87" s="21"/>
      <c r="C87" s="20"/>
      <c r="D87" s="22"/>
      <c r="E87" s="20"/>
      <c r="F87" s="20"/>
      <c r="G87" s="20"/>
      <c r="H87" s="23"/>
      <c r="I87" s="24"/>
      <c r="J87" s="18" t="str">
        <f aca="false">IF($A87="","",COUNTIF('Daily Log'!$E$8:$E$500,$A87))</f>
        <v/>
      </c>
      <c r="K87" s="18" t="str">
        <f aca="false">IF($A87="","",IF(COUNTIF($A$6:$A$105,$A87)&gt;1,"DUPLICATE CODE",IF($B87="","needs a name","OK")))</f>
        <v/>
      </c>
    </row>
    <row r="88" customFormat="false" ht="15" hidden="false" customHeight="false" outlineLevel="0" collapsed="false">
      <c r="A88" s="20"/>
      <c r="B88" s="21"/>
      <c r="C88" s="20"/>
      <c r="D88" s="22"/>
      <c r="E88" s="20"/>
      <c r="F88" s="20"/>
      <c r="G88" s="20"/>
      <c r="H88" s="23"/>
      <c r="I88" s="24"/>
      <c r="J88" s="18" t="str">
        <f aca="false">IF($A88="","",COUNTIF('Daily Log'!$E$8:$E$500,$A88))</f>
        <v/>
      </c>
      <c r="K88" s="18" t="str">
        <f aca="false">IF($A88="","",IF(COUNTIF($A$6:$A$105,$A88)&gt;1,"DUPLICATE CODE",IF($B88="","needs a name","OK")))</f>
        <v/>
      </c>
    </row>
    <row r="89" customFormat="false" ht="15" hidden="false" customHeight="false" outlineLevel="0" collapsed="false">
      <c r="A89" s="20"/>
      <c r="B89" s="21"/>
      <c r="C89" s="20"/>
      <c r="D89" s="22"/>
      <c r="E89" s="20"/>
      <c r="F89" s="20"/>
      <c r="G89" s="20"/>
      <c r="H89" s="23"/>
      <c r="I89" s="24"/>
      <c r="J89" s="18" t="str">
        <f aca="false">IF($A89="","",COUNTIF('Daily Log'!$E$8:$E$500,$A89))</f>
        <v/>
      </c>
      <c r="K89" s="18" t="str">
        <f aca="false">IF($A89="","",IF(COUNTIF($A$6:$A$105,$A89)&gt;1,"DUPLICATE CODE",IF($B89="","needs a name","OK")))</f>
        <v/>
      </c>
    </row>
    <row r="90" customFormat="false" ht="15" hidden="false" customHeight="false" outlineLevel="0" collapsed="false">
      <c r="A90" s="20"/>
      <c r="B90" s="21"/>
      <c r="C90" s="20"/>
      <c r="D90" s="22"/>
      <c r="E90" s="20"/>
      <c r="F90" s="20"/>
      <c r="G90" s="20"/>
      <c r="H90" s="23"/>
      <c r="I90" s="24"/>
      <c r="J90" s="18" t="str">
        <f aca="false">IF($A90="","",COUNTIF('Daily Log'!$E$8:$E$500,$A90))</f>
        <v/>
      </c>
      <c r="K90" s="18" t="str">
        <f aca="false">IF($A90="","",IF(COUNTIF($A$6:$A$105,$A90)&gt;1,"DUPLICATE CODE",IF($B90="","needs a name","OK")))</f>
        <v/>
      </c>
    </row>
    <row r="91" customFormat="false" ht="15" hidden="false" customHeight="false" outlineLevel="0" collapsed="false">
      <c r="A91" s="20"/>
      <c r="B91" s="21"/>
      <c r="C91" s="20"/>
      <c r="D91" s="22"/>
      <c r="E91" s="20"/>
      <c r="F91" s="20"/>
      <c r="G91" s="20"/>
      <c r="H91" s="23"/>
      <c r="I91" s="24"/>
      <c r="J91" s="18" t="str">
        <f aca="false">IF($A91="","",COUNTIF('Daily Log'!$E$8:$E$500,$A91))</f>
        <v/>
      </c>
      <c r="K91" s="18" t="str">
        <f aca="false">IF($A91="","",IF(COUNTIF($A$6:$A$105,$A91)&gt;1,"DUPLICATE CODE",IF($B91="","needs a name","OK")))</f>
        <v/>
      </c>
    </row>
    <row r="92" customFormat="false" ht="15" hidden="false" customHeight="false" outlineLevel="0" collapsed="false">
      <c r="A92" s="20"/>
      <c r="B92" s="21"/>
      <c r="C92" s="20"/>
      <c r="D92" s="22"/>
      <c r="E92" s="20"/>
      <c r="F92" s="20"/>
      <c r="G92" s="20"/>
      <c r="H92" s="23"/>
      <c r="I92" s="24"/>
      <c r="J92" s="18" t="str">
        <f aca="false">IF($A92="","",COUNTIF('Daily Log'!$E$8:$E$500,$A92))</f>
        <v/>
      </c>
      <c r="K92" s="18" t="str">
        <f aca="false">IF($A92="","",IF(COUNTIF($A$6:$A$105,$A92)&gt;1,"DUPLICATE CODE",IF($B92="","needs a name","OK")))</f>
        <v/>
      </c>
    </row>
    <row r="93" customFormat="false" ht="15" hidden="false" customHeight="false" outlineLevel="0" collapsed="false">
      <c r="A93" s="20"/>
      <c r="B93" s="21"/>
      <c r="C93" s="20"/>
      <c r="D93" s="22"/>
      <c r="E93" s="20"/>
      <c r="F93" s="20"/>
      <c r="G93" s="20"/>
      <c r="H93" s="23"/>
      <c r="I93" s="24"/>
      <c r="J93" s="18" t="str">
        <f aca="false">IF($A93="","",COUNTIF('Daily Log'!$E$8:$E$500,$A93))</f>
        <v/>
      </c>
      <c r="K93" s="18" t="str">
        <f aca="false">IF($A93="","",IF(COUNTIF($A$6:$A$105,$A93)&gt;1,"DUPLICATE CODE",IF($B93="","needs a name","OK")))</f>
        <v/>
      </c>
    </row>
    <row r="94" customFormat="false" ht="15" hidden="false" customHeight="false" outlineLevel="0" collapsed="false">
      <c r="A94" s="20"/>
      <c r="B94" s="21"/>
      <c r="C94" s="20"/>
      <c r="D94" s="22"/>
      <c r="E94" s="20"/>
      <c r="F94" s="20"/>
      <c r="G94" s="20"/>
      <c r="H94" s="23"/>
      <c r="I94" s="24"/>
      <c r="J94" s="18" t="str">
        <f aca="false">IF($A94="","",COUNTIF('Daily Log'!$E$8:$E$500,$A94))</f>
        <v/>
      </c>
      <c r="K94" s="18" t="str">
        <f aca="false">IF($A94="","",IF(COUNTIF($A$6:$A$105,$A94)&gt;1,"DUPLICATE CODE",IF($B94="","needs a name","OK")))</f>
        <v/>
      </c>
    </row>
    <row r="95" customFormat="false" ht="15" hidden="false" customHeight="false" outlineLevel="0" collapsed="false">
      <c r="A95" s="20"/>
      <c r="B95" s="21"/>
      <c r="C95" s="20"/>
      <c r="D95" s="22"/>
      <c r="E95" s="20"/>
      <c r="F95" s="20"/>
      <c r="G95" s="20"/>
      <c r="H95" s="23"/>
      <c r="I95" s="24"/>
      <c r="J95" s="18" t="str">
        <f aca="false">IF($A95="","",COUNTIF('Daily Log'!$E$8:$E$500,$A95))</f>
        <v/>
      </c>
      <c r="K95" s="18" t="str">
        <f aca="false">IF($A95="","",IF(COUNTIF($A$6:$A$105,$A95)&gt;1,"DUPLICATE CODE",IF($B95="","needs a name","OK")))</f>
        <v/>
      </c>
    </row>
    <row r="96" customFormat="false" ht="15" hidden="false" customHeight="false" outlineLevel="0" collapsed="false">
      <c r="A96" s="20"/>
      <c r="B96" s="21"/>
      <c r="C96" s="20"/>
      <c r="D96" s="22"/>
      <c r="E96" s="20"/>
      <c r="F96" s="20"/>
      <c r="G96" s="20"/>
      <c r="H96" s="23"/>
      <c r="I96" s="24"/>
      <c r="J96" s="18" t="str">
        <f aca="false">IF($A96="","",COUNTIF('Daily Log'!$E$8:$E$500,$A96))</f>
        <v/>
      </c>
      <c r="K96" s="18" t="str">
        <f aca="false">IF($A96="","",IF(COUNTIF($A$6:$A$105,$A96)&gt;1,"DUPLICATE CODE",IF($B96="","needs a name","OK")))</f>
        <v/>
      </c>
    </row>
    <row r="97" customFormat="false" ht="15" hidden="false" customHeight="false" outlineLevel="0" collapsed="false">
      <c r="A97" s="20"/>
      <c r="B97" s="21"/>
      <c r="C97" s="20"/>
      <c r="D97" s="22"/>
      <c r="E97" s="20"/>
      <c r="F97" s="20"/>
      <c r="G97" s="20"/>
      <c r="H97" s="23"/>
      <c r="I97" s="24"/>
      <c r="J97" s="18" t="str">
        <f aca="false">IF($A97="","",COUNTIF('Daily Log'!$E$8:$E$500,$A97))</f>
        <v/>
      </c>
      <c r="K97" s="18" t="str">
        <f aca="false">IF($A97="","",IF(COUNTIF($A$6:$A$105,$A97)&gt;1,"DUPLICATE CODE",IF($B97="","needs a name","OK")))</f>
        <v/>
      </c>
    </row>
    <row r="98" customFormat="false" ht="15" hidden="false" customHeight="false" outlineLevel="0" collapsed="false">
      <c r="A98" s="20"/>
      <c r="B98" s="21"/>
      <c r="C98" s="20"/>
      <c r="D98" s="22"/>
      <c r="E98" s="20"/>
      <c r="F98" s="20"/>
      <c r="G98" s="20"/>
      <c r="H98" s="23"/>
      <c r="I98" s="24"/>
      <c r="J98" s="18" t="str">
        <f aca="false">IF($A98="","",COUNTIF('Daily Log'!$E$8:$E$500,$A98))</f>
        <v/>
      </c>
      <c r="K98" s="18" t="str">
        <f aca="false">IF($A98="","",IF(COUNTIF($A$6:$A$105,$A98)&gt;1,"DUPLICATE CODE",IF($B98="","needs a name","OK")))</f>
        <v/>
      </c>
    </row>
    <row r="99" customFormat="false" ht="15" hidden="false" customHeight="false" outlineLevel="0" collapsed="false">
      <c r="A99" s="20"/>
      <c r="B99" s="21"/>
      <c r="C99" s="20"/>
      <c r="D99" s="22"/>
      <c r="E99" s="20"/>
      <c r="F99" s="20"/>
      <c r="G99" s="20"/>
      <c r="H99" s="23"/>
      <c r="I99" s="24"/>
      <c r="J99" s="18" t="str">
        <f aca="false">IF($A99="","",COUNTIF('Daily Log'!$E$8:$E$500,$A99))</f>
        <v/>
      </c>
      <c r="K99" s="18" t="str">
        <f aca="false">IF($A99="","",IF(COUNTIF($A$6:$A$105,$A99)&gt;1,"DUPLICATE CODE",IF($B99="","needs a name","OK")))</f>
        <v/>
      </c>
    </row>
    <row r="100" customFormat="false" ht="15" hidden="false" customHeight="false" outlineLevel="0" collapsed="false">
      <c r="A100" s="20"/>
      <c r="B100" s="21"/>
      <c r="C100" s="20"/>
      <c r="D100" s="22"/>
      <c r="E100" s="20"/>
      <c r="F100" s="20"/>
      <c r="G100" s="20"/>
      <c r="H100" s="23"/>
      <c r="I100" s="24"/>
      <c r="J100" s="18" t="str">
        <f aca="false">IF($A100="","",COUNTIF('Daily Log'!$E$8:$E$500,$A100))</f>
        <v/>
      </c>
      <c r="K100" s="18" t="str">
        <f aca="false">IF($A100="","",IF(COUNTIF($A$6:$A$105,$A100)&gt;1,"DUPLICATE CODE",IF($B100="","needs a name","OK")))</f>
        <v/>
      </c>
    </row>
    <row r="101" customFormat="false" ht="15" hidden="false" customHeight="false" outlineLevel="0" collapsed="false">
      <c r="A101" s="20"/>
      <c r="B101" s="21"/>
      <c r="C101" s="20"/>
      <c r="D101" s="22"/>
      <c r="E101" s="20"/>
      <c r="F101" s="20"/>
      <c r="G101" s="20"/>
      <c r="H101" s="23"/>
      <c r="I101" s="24"/>
      <c r="J101" s="18" t="str">
        <f aca="false">IF($A101="","",COUNTIF('Daily Log'!$E$8:$E$500,$A101))</f>
        <v/>
      </c>
      <c r="K101" s="18" t="str">
        <f aca="false">IF($A101="","",IF(COUNTIF($A$6:$A$105,$A101)&gt;1,"DUPLICATE CODE",IF($B101="","needs a name","OK")))</f>
        <v/>
      </c>
    </row>
    <row r="102" customFormat="false" ht="15" hidden="false" customHeight="false" outlineLevel="0" collapsed="false">
      <c r="A102" s="20"/>
      <c r="B102" s="21"/>
      <c r="C102" s="20"/>
      <c r="D102" s="22"/>
      <c r="E102" s="20"/>
      <c r="F102" s="20"/>
      <c r="G102" s="20"/>
      <c r="H102" s="23"/>
      <c r="I102" s="24"/>
      <c r="J102" s="18" t="str">
        <f aca="false">IF($A102="","",COUNTIF('Daily Log'!$E$8:$E$500,$A102))</f>
        <v/>
      </c>
      <c r="K102" s="18" t="str">
        <f aca="false">IF($A102="","",IF(COUNTIF($A$6:$A$105,$A102)&gt;1,"DUPLICATE CODE",IF($B102="","needs a name","OK")))</f>
        <v/>
      </c>
    </row>
    <row r="103" customFormat="false" ht="15" hidden="false" customHeight="false" outlineLevel="0" collapsed="false">
      <c r="A103" s="20"/>
      <c r="B103" s="21"/>
      <c r="C103" s="20"/>
      <c r="D103" s="22"/>
      <c r="E103" s="20"/>
      <c r="F103" s="20"/>
      <c r="G103" s="20"/>
      <c r="H103" s="23"/>
      <c r="I103" s="24"/>
      <c r="J103" s="18" t="str">
        <f aca="false">IF($A103="","",COUNTIF('Daily Log'!$E$8:$E$500,$A103))</f>
        <v/>
      </c>
      <c r="K103" s="18" t="str">
        <f aca="false">IF($A103="","",IF(COUNTIF($A$6:$A$105,$A103)&gt;1,"DUPLICATE CODE",IF($B103="","needs a name","OK")))</f>
        <v/>
      </c>
    </row>
    <row r="104" customFormat="false" ht="15" hidden="false" customHeight="false" outlineLevel="0" collapsed="false">
      <c r="A104" s="20"/>
      <c r="B104" s="21"/>
      <c r="C104" s="20"/>
      <c r="D104" s="22"/>
      <c r="E104" s="20"/>
      <c r="F104" s="20"/>
      <c r="G104" s="20"/>
      <c r="H104" s="23"/>
      <c r="I104" s="24"/>
      <c r="J104" s="18" t="str">
        <f aca="false">IF($A104="","",COUNTIF('Daily Log'!$E$8:$E$500,$A104))</f>
        <v/>
      </c>
      <c r="K104" s="18" t="str">
        <f aca="false">IF($A104="","",IF(COUNTIF($A$6:$A$105,$A104)&gt;1,"DUPLICATE CODE",IF($B104="","needs a name","OK")))</f>
        <v/>
      </c>
    </row>
    <row r="105" customFormat="false" ht="15" hidden="false" customHeight="false" outlineLevel="0" collapsed="false">
      <c r="A105" s="20"/>
      <c r="B105" s="21"/>
      <c r="C105" s="20"/>
      <c r="D105" s="22"/>
      <c r="E105" s="20"/>
      <c r="F105" s="20"/>
      <c r="G105" s="20"/>
      <c r="H105" s="23"/>
      <c r="I105" s="24"/>
      <c r="J105" s="18" t="str">
        <f aca="false">IF($A105="","",COUNTIF('Daily Log'!$E$8:$E$500,$A105))</f>
        <v/>
      </c>
      <c r="K105" s="18" t="str">
        <f aca="false">IF($A105="","",IF(COUNTIF($A$6:$A$105,$A105)&gt;1,"DUPLICATE CODE",IF($B105="","needs a name","OK")))</f>
        <v/>
      </c>
    </row>
  </sheetData>
  <dataValidations count="2">
    <dataValidation allowBlank="true" errorStyle="stop" operator="between" showDropDown="false" showErrorMessage="false" showInputMessage="false" sqref="H6:H105" type="list">
      <formula1>"Yes,No,Not found"</formula1>
      <formula2>0</formula2>
    </dataValidation>
    <dataValidation allowBlank="true" errorStyle="stop" operator="between" showDropDown="false" showErrorMessage="false" showInputMessage="false" sqref="G6:G105" type="list">
      <formula1>Lists!$D$2:$D$13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9" t="s">
        <v>55</v>
      </c>
    </row>
    <row r="2" customFormat="false" ht="15" hidden="false" customHeight="false" outlineLevel="0" collapsed="false">
      <c r="A2" s="8" t="s">
        <v>56</v>
      </c>
    </row>
    <row r="3" customFormat="false" ht="15" hidden="false" customHeight="false" outlineLevel="0" collapsed="false">
      <c r="A3" s="10" t="s">
        <v>57</v>
      </c>
    </row>
    <row r="5" customFormat="false" ht="30" hidden="false" customHeight="true" outlineLevel="0" collapsed="false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25" t="s">
        <v>63</v>
      </c>
      <c r="G5" s="25" t="s">
        <v>64</v>
      </c>
      <c r="H5" s="12" t="s">
        <v>65</v>
      </c>
      <c r="I5" s="11" t="s">
        <v>66</v>
      </c>
      <c r="J5" s="11" t="s">
        <v>67</v>
      </c>
      <c r="K5" s="11" t="s">
        <v>68</v>
      </c>
      <c r="L5" s="11" t="s">
        <v>69</v>
      </c>
    </row>
    <row r="6" customFormat="false" ht="19.4" hidden="false" customHeight="false" outlineLevel="0" collapsed="false">
      <c r="A6" s="26" t="s">
        <v>70</v>
      </c>
      <c r="B6" s="26" t="s">
        <v>71</v>
      </c>
      <c r="C6" s="26" t="s">
        <v>72</v>
      </c>
      <c r="D6" s="26" t="s">
        <v>73</v>
      </c>
      <c r="E6" s="26" t="s">
        <v>74</v>
      </c>
      <c r="F6" s="26" t="s">
        <v>75</v>
      </c>
      <c r="G6" s="26" t="s">
        <v>75</v>
      </c>
      <c r="H6" s="26" t="s">
        <v>76</v>
      </c>
      <c r="I6" s="26" t="s">
        <v>77</v>
      </c>
      <c r="J6" s="26" t="s">
        <v>78</v>
      </c>
      <c r="K6" s="26" t="s">
        <v>79</v>
      </c>
      <c r="L6" s="26" t="s">
        <v>80</v>
      </c>
    </row>
    <row r="7" customFormat="false" ht="15" hidden="false" customHeight="false" outlineLevel="0" collapsed="false">
      <c r="A7" s="14" t="n">
        <v>1</v>
      </c>
      <c r="B7" s="27" t="s">
        <v>81</v>
      </c>
      <c r="C7" s="14" t="s">
        <v>82</v>
      </c>
      <c r="D7" s="15" t="s">
        <v>73</v>
      </c>
      <c r="E7" s="14" t="s">
        <v>48</v>
      </c>
      <c r="F7" s="28" t="str">
        <f aca="false">IF($E7="","",IFERROR(INDEX('Food Library'!$B$6:$B$105,MATCH($E7,'Food Library'!$A$6:$A$105,0)),"?? code not in Library"))</f>
        <v>Weetabix Original wholegrain wheat biscuits</v>
      </c>
      <c r="G7" s="29" t="str">
        <f aca="false">IF($E7="","",IFERROR(INDEX('Food Library'!$D$6:$D$105,MATCH($E7,'Food Library'!$A$6:$A$105,0)),""))</f>
        <v>5010029000016</v>
      </c>
      <c r="H7" s="14" t="n">
        <v>37.5</v>
      </c>
      <c r="I7" s="14" t="s">
        <v>83</v>
      </c>
      <c r="J7" s="14" t="s">
        <v>84</v>
      </c>
      <c r="K7" s="14" t="s">
        <v>85</v>
      </c>
      <c r="L7" s="14" t="s">
        <v>86</v>
      </c>
      <c r="M7" s="19" t="s">
        <v>87</v>
      </c>
    </row>
    <row r="8" customFormat="false" ht="15" hidden="false" customHeight="false" outlineLevel="0" collapsed="false">
      <c r="A8" s="20"/>
      <c r="B8" s="30"/>
      <c r="C8" s="20"/>
      <c r="D8" s="22"/>
      <c r="E8" s="20"/>
      <c r="F8" s="31" t="str">
        <f aca="false">IF($E8="","",IFERROR(INDEX('Food Library'!$B$6:$B$105,MATCH($E8,'Food Library'!$A$6:$A$105,0)),"?? code not in Library"))</f>
        <v/>
      </c>
      <c r="G8" s="32" t="str">
        <f aca="false">IF($E8="","",IFERROR(INDEX('Food Library'!$D$6:$D$105,MATCH($E8,'Food Library'!$A$6:$A$105,0)),""))</f>
        <v/>
      </c>
      <c r="H8" s="20"/>
      <c r="I8" s="20"/>
      <c r="J8" s="20"/>
      <c r="K8" s="20"/>
      <c r="L8" s="21"/>
    </row>
    <row r="9" customFormat="false" ht="15" hidden="false" customHeight="false" outlineLevel="0" collapsed="false">
      <c r="A9" s="20"/>
      <c r="B9" s="30"/>
      <c r="C9" s="20"/>
      <c r="D9" s="22"/>
      <c r="E9" s="20"/>
      <c r="F9" s="31" t="str">
        <f aca="false">IF($E9="","",IFERROR(INDEX('Food Library'!$B$6:$B$105,MATCH($E9,'Food Library'!$A$6:$A$105,0)),"?? code not in Library"))</f>
        <v/>
      </c>
      <c r="G9" s="32" t="str">
        <f aca="false">IF($E9="","",IFERROR(INDEX('Food Library'!$D$6:$D$105,MATCH($E9,'Food Library'!$A$6:$A$105,0)),""))</f>
        <v/>
      </c>
      <c r="H9" s="20"/>
      <c r="I9" s="20"/>
      <c r="J9" s="20"/>
      <c r="K9" s="20"/>
      <c r="L9" s="21"/>
    </row>
    <row r="10" customFormat="false" ht="15" hidden="false" customHeight="false" outlineLevel="0" collapsed="false">
      <c r="A10" s="20"/>
      <c r="B10" s="30"/>
      <c r="C10" s="20"/>
      <c r="D10" s="22"/>
      <c r="E10" s="20"/>
      <c r="F10" s="31" t="str">
        <f aca="false">IF($E10="","",IFERROR(INDEX('Food Library'!$B$6:$B$105,MATCH($E10,'Food Library'!$A$6:$A$105,0)),"?? code not in Library"))</f>
        <v/>
      </c>
      <c r="G10" s="32" t="str">
        <f aca="false">IF($E10="","",IFERROR(INDEX('Food Library'!$D$6:$D$105,MATCH($E10,'Food Library'!$A$6:$A$105,0)),""))</f>
        <v/>
      </c>
      <c r="H10" s="20"/>
      <c r="I10" s="20"/>
      <c r="J10" s="20"/>
      <c r="K10" s="20"/>
      <c r="L10" s="21"/>
    </row>
    <row r="11" customFormat="false" ht="15" hidden="false" customHeight="false" outlineLevel="0" collapsed="false">
      <c r="A11" s="20"/>
      <c r="B11" s="30"/>
      <c r="C11" s="20"/>
      <c r="D11" s="22"/>
      <c r="E11" s="20"/>
      <c r="F11" s="31" t="str">
        <f aca="false">IF($E11="","",IFERROR(INDEX('Food Library'!$B$6:$B$105,MATCH($E11,'Food Library'!$A$6:$A$105,0)),"?? code not in Library"))</f>
        <v/>
      </c>
      <c r="G11" s="32" t="str">
        <f aca="false">IF($E11="","",IFERROR(INDEX('Food Library'!$D$6:$D$105,MATCH($E11,'Food Library'!$A$6:$A$105,0)),""))</f>
        <v/>
      </c>
      <c r="H11" s="20"/>
      <c r="I11" s="20"/>
      <c r="J11" s="20"/>
      <c r="K11" s="20"/>
      <c r="L11" s="21"/>
    </row>
    <row r="12" customFormat="false" ht="15" hidden="false" customHeight="false" outlineLevel="0" collapsed="false">
      <c r="A12" s="20"/>
      <c r="B12" s="30"/>
      <c r="C12" s="20"/>
      <c r="D12" s="22"/>
      <c r="E12" s="20"/>
      <c r="F12" s="31" t="str">
        <f aca="false">IF($E12="","",IFERROR(INDEX('Food Library'!$B$6:$B$105,MATCH($E12,'Food Library'!$A$6:$A$105,0)),"?? code not in Library"))</f>
        <v/>
      </c>
      <c r="G12" s="32" t="str">
        <f aca="false">IF($E12="","",IFERROR(INDEX('Food Library'!$D$6:$D$105,MATCH($E12,'Food Library'!$A$6:$A$105,0)),""))</f>
        <v/>
      </c>
      <c r="H12" s="20"/>
      <c r="I12" s="20"/>
      <c r="J12" s="20"/>
      <c r="K12" s="20"/>
      <c r="L12" s="21"/>
    </row>
    <row r="13" customFormat="false" ht="15" hidden="false" customHeight="false" outlineLevel="0" collapsed="false">
      <c r="A13" s="20"/>
      <c r="B13" s="30"/>
      <c r="C13" s="20"/>
      <c r="D13" s="22"/>
      <c r="E13" s="20"/>
      <c r="F13" s="31" t="str">
        <f aca="false">IF($E13="","",IFERROR(INDEX('Food Library'!$B$6:$B$105,MATCH($E13,'Food Library'!$A$6:$A$105,0)),"?? code not in Library"))</f>
        <v/>
      </c>
      <c r="G13" s="32" t="str">
        <f aca="false">IF($E13="","",IFERROR(INDEX('Food Library'!$D$6:$D$105,MATCH($E13,'Food Library'!$A$6:$A$105,0)),""))</f>
        <v/>
      </c>
      <c r="H13" s="20"/>
      <c r="I13" s="20"/>
      <c r="J13" s="20"/>
      <c r="K13" s="20"/>
      <c r="L13" s="21"/>
    </row>
    <row r="14" customFormat="false" ht="15" hidden="false" customHeight="false" outlineLevel="0" collapsed="false">
      <c r="A14" s="20"/>
      <c r="B14" s="30"/>
      <c r="C14" s="20"/>
      <c r="D14" s="22"/>
      <c r="E14" s="20"/>
      <c r="F14" s="31" t="str">
        <f aca="false">IF($E14="","",IFERROR(INDEX('Food Library'!$B$6:$B$105,MATCH($E14,'Food Library'!$A$6:$A$105,0)),"?? code not in Library"))</f>
        <v/>
      </c>
      <c r="G14" s="32" t="str">
        <f aca="false">IF($E14="","",IFERROR(INDEX('Food Library'!$D$6:$D$105,MATCH($E14,'Food Library'!$A$6:$A$105,0)),""))</f>
        <v/>
      </c>
      <c r="H14" s="20"/>
      <c r="I14" s="20"/>
      <c r="J14" s="20"/>
      <c r="K14" s="20"/>
      <c r="L14" s="21"/>
    </row>
    <row r="15" customFormat="false" ht="15" hidden="false" customHeight="false" outlineLevel="0" collapsed="false">
      <c r="A15" s="20"/>
      <c r="B15" s="30"/>
      <c r="C15" s="20"/>
      <c r="D15" s="22"/>
      <c r="E15" s="20"/>
      <c r="F15" s="31" t="str">
        <f aca="false">IF($E15="","",IFERROR(INDEX('Food Library'!$B$6:$B$105,MATCH($E15,'Food Library'!$A$6:$A$105,0)),"?? code not in Library"))</f>
        <v/>
      </c>
      <c r="G15" s="32" t="str">
        <f aca="false">IF($E15="","",IFERROR(INDEX('Food Library'!$D$6:$D$105,MATCH($E15,'Food Library'!$A$6:$A$105,0)),""))</f>
        <v/>
      </c>
      <c r="H15" s="20"/>
      <c r="I15" s="20"/>
      <c r="J15" s="20"/>
      <c r="K15" s="20"/>
      <c r="L15" s="21"/>
    </row>
    <row r="16" customFormat="false" ht="15" hidden="false" customHeight="false" outlineLevel="0" collapsed="false">
      <c r="A16" s="20"/>
      <c r="B16" s="30"/>
      <c r="C16" s="20"/>
      <c r="D16" s="22"/>
      <c r="E16" s="20"/>
      <c r="F16" s="31" t="str">
        <f aca="false">IF($E16="","",IFERROR(INDEX('Food Library'!$B$6:$B$105,MATCH($E16,'Food Library'!$A$6:$A$105,0)),"?? code not in Library"))</f>
        <v/>
      </c>
      <c r="G16" s="32" t="str">
        <f aca="false">IF($E16="","",IFERROR(INDEX('Food Library'!$D$6:$D$105,MATCH($E16,'Food Library'!$A$6:$A$105,0)),""))</f>
        <v/>
      </c>
      <c r="H16" s="20"/>
      <c r="I16" s="20"/>
      <c r="J16" s="20"/>
      <c r="K16" s="20"/>
      <c r="L16" s="21"/>
    </row>
    <row r="17" customFormat="false" ht="15" hidden="false" customHeight="false" outlineLevel="0" collapsed="false">
      <c r="A17" s="20"/>
      <c r="B17" s="30"/>
      <c r="C17" s="20"/>
      <c r="D17" s="22"/>
      <c r="E17" s="20"/>
      <c r="F17" s="31" t="str">
        <f aca="false">IF($E17="","",IFERROR(INDEX('Food Library'!$B$6:$B$105,MATCH($E17,'Food Library'!$A$6:$A$105,0)),"?? code not in Library"))</f>
        <v/>
      </c>
      <c r="G17" s="32" t="str">
        <f aca="false">IF($E17="","",IFERROR(INDEX('Food Library'!$D$6:$D$105,MATCH($E17,'Food Library'!$A$6:$A$105,0)),""))</f>
        <v/>
      </c>
      <c r="H17" s="20"/>
      <c r="I17" s="20"/>
      <c r="J17" s="20"/>
      <c r="K17" s="20"/>
      <c r="L17" s="21"/>
    </row>
    <row r="18" customFormat="false" ht="15" hidden="false" customHeight="false" outlineLevel="0" collapsed="false">
      <c r="A18" s="20"/>
      <c r="B18" s="30"/>
      <c r="C18" s="20"/>
      <c r="D18" s="22"/>
      <c r="E18" s="20"/>
      <c r="F18" s="31" t="str">
        <f aca="false">IF($E18="","",IFERROR(INDEX('Food Library'!$B$6:$B$105,MATCH($E18,'Food Library'!$A$6:$A$105,0)),"?? code not in Library"))</f>
        <v/>
      </c>
      <c r="G18" s="32" t="str">
        <f aca="false">IF($E18="","",IFERROR(INDEX('Food Library'!$D$6:$D$105,MATCH($E18,'Food Library'!$A$6:$A$105,0)),""))</f>
        <v/>
      </c>
      <c r="H18" s="20"/>
      <c r="I18" s="20"/>
      <c r="J18" s="20"/>
      <c r="K18" s="20"/>
      <c r="L18" s="21"/>
    </row>
    <row r="19" customFormat="false" ht="15" hidden="false" customHeight="false" outlineLevel="0" collapsed="false">
      <c r="A19" s="20"/>
      <c r="B19" s="30"/>
      <c r="C19" s="20"/>
      <c r="D19" s="22"/>
      <c r="E19" s="20"/>
      <c r="F19" s="31" t="str">
        <f aca="false">IF($E19="","",IFERROR(INDEX('Food Library'!$B$6:$B$105,MATCH($E19,'Food Library'!$A$6:$A$105,0)),"?? code not in Library"))</f>
        <v/>
      </c>
      <c r="G19" s="32" t="str">
        <f aca="false">IF($E19="","",IFERROR(INDEX('Food Library'!$D$6:$D$105,MATCH($E19,'Food Library'!$A$6:$A$105,0)),""))</f>
        <v/>
      </c>
      <c r="H19" s="20"/>
      <c r="I19" s="20"/>
      <c r="J19" s="20"/>
      <c r="K19" s="20"/>
      <c r="L19" s="21"/>
    </row>
    <row r="20" customFormat="false" ht="15" hidden="false" customHeight="false" outlineLevel="0" collapsed="false">
      <c r="A20" s="20"/>
      <c r="B20" s="30"/>
      <c r="C20" s="20"/>
      <c r="D20" s="22"/>
      <c r="E20" s="20"/>
      <c r="F20" s="31" t="str">
        <f aca="false">IF($E20="","",IFERROR(INDEX('Food Library'!$B$6:$B$105,MATCH($E20,'Food Library'!$A$6:$A$105,0)),"?? code not in Library"))</f>
        <v/>
      </c>
      <c r="G20" s="32" t="str">
        <f aca="false">IF($E20="","",IFERROR(INDEX('Food Library'!$D$6:$D$105,MATCH($E20,'Food Library'!$A$6:$A$105,0)),""))</f>
        <v/>
      </c>
      <c r="H20" s="20"/>
      <c r="I20" s="20"/>
      <c r="J20" s="20"/>
      <c r="K20" s="20"/>
      <c r="L20" s="21"/>
    </row>
    <row r="21" customFormat="false" ht="15" hidden="false" customHeight="false" outlineLevel="0" collapsed="false">
      <c r="A21" s="20"/>
      <c r="B21" s="30"/>
      <c r="C21" s="20"/>
      <c r="D21" s="22"/>
      <c r="E21" s="20"/>
      <c r="F21" s="31" t="str">
        <f aca="false">IF($E21="","",IFERROR(INDEX('Food Library'!$B$6:$B$105,MATCH($E21,'Food Library'!$A$6:$A$105,0)),"?? code not in Library"))</f>
        <v/>
      </c>
      <c r="G21" s="32" t="str">
        <f aca="false">IF($E21="","",IFERROR(INDEX('Food Library'!$D$6:$D$105,MATCH($E21,'Food Library'!$A$6:$A$105,0)),""))</f>
        <v/>
      </c>
      <c r="H21" s="20"/>
      <c r="I21" s="20"/>
      <c r="J21" s="20"/>
      <c r="K21" s="20"/>
      <c r="L21" s="21"/>
    </row>
    <row r="22" customFormat="false" ht="15" hidden="false" customHeight="false" outlineLevel="0" collapsed="false">
      <c r="A22" s="20"/>
      <c r="B22" s="30"/>
      <c r="C22" s="20"/>
      <c r="D22" s="22"/>
      <c r="E22" s="20"/>
      <c r="F22" s="31" t="str">
        <f aca="false">IF($E22="","",IFERROR(INDEX('Food Library'!$B$6:$B$105,MATCH($E22,'Food Library'!$A$6:$A$105,0)),"?? code not in Library"))</f>
        <v/>
      </c>
      <c r="G22" s="32" t="str">
        <f aca="false">IF($E22="","",IFERROR(INDEX('Food Library'!$D$6:$D$105,MATCH($E22,'Food Library'!$A$6:$A$105,0)),""))</f>
        <v/>
      </c>
      <c r="H22" s="20"/>
      <c r="I22" s="20"/>
      <c r="J22" s="20"/>
      <c r="K22" s="20"/>
      <c r="L22" s="21"/>
    </row>
    <row r="23" customFormat="false" ht="15" hidden="false" customHeight="false" outlineLevel="0" collapsed="false">
      <c r="A23" s="20"/>
      <c r="B23" s="30"/>
      <c r="C23" s="20"/>
      <c r="D23" s="22"/>
      <c r="E23" s="20"/>
      <c r="F23" s="31" t="str">
        <f aca="false">IF($E23="","",IFERROR(INDEX('Food Library'!$B$6:$B$105,MATCH($E23,'Food Library'!$A$6:$A$105,0)),"?? code not in Library"))</f>
        <v/>
      </c>
      <c r="G23" s="32" t="str">
        <f aca="false">IF($E23="","",IFERROR(INDEX('Food Library'!$D$6:$D$105,MATCH($E23,'Food Library'!$A$6:$A$105,0)),""))</f>
        <v/>
      </c>
      <c r="H23" s="20"/>
      <c r="I23" s="20"/>
      <c r="J23" s="20"/>
      <c r="K23" s="20"/>
      <c r="L23" s="21"/>
    </row>
    <row r="24" customFormat="false" ht="15" hidden="false" customHeight="false" outlineLevel="0" collapsed="false">
      <c r="A24" s="20"/>
      <c r="B24" s="30"/>
      <c r="C24" s="20"/>
      <c r="D24" s="22"/>
      <c r="E24" s="20"/>
      <c r="F24" s="31" t="str">
        <f aca="false">IF($E24="","",IFERROR(INDEX('Food Library'!$B$6:$B$105,MATCH($E24,'Food Library'!$A$6:$A$105,0)),"?? code not in Library"))</f>
        <v/>
      </c>
      <c r="G24" s="32" t="str">
        <f aca="false">IF($E24="","",IFERROR(INDEX('Food Library'!$D$6:$D$105,MATCH($E24,'Food Library'!$A$6:$A$105,0)),""))</f>
        <v/>
      </c>
      <c r="H24" s="20"/>
      <c r="I24" s="20"/>
      <c r="J24" s="20"/>
      <c r="K24" s="20"/>
      <c r="L24" s="21"/>
    </row>
    <row r="25" customFormat="false" ht="15" hidden="false" customHeight="false" outlineLevel="0" collapsed="false">
      <c r="A25" s="20"/>
      <c r="B25" s="30"/>
      <c r="C25" s="20"/>
      <c r="D25" s="22"/>
      <c r="E25" s="20"/>
      <c r="F25" s="31" t="str">
        <f aca="false">IF($E25="","",IFERROR(INDEX('Food Library'!$B$6:$B$105,MATCH($E25,'Food Library'!$A$6:$A$105,0)),"?? code not in Library"))</f>
        <v/>
      </c>
      <c r="G25" s="32" t="str">
        <f aca="false">IF($E25="","",IFERROR(INDEX('Food Library'!$D$6:$D$105,MATCH($E25,'Food Library'!$A$6:$A$105,0)),""))</f>
        <v/>
      </c>
      <c r="H25" s="20"/>
      <c r="I25" s="20"/>
      <c r="J25" s="20"/>
      <c r="K25" s="20"/>
      <c r="L25" s="21"/>
    </row>
    <row r="26" customFormat="false" ht="15" hidden="false" customHeight="false" outlineLevel="0" collapsed="false">
      <c r="A26" s="20"/>
      <c r="B26" s="30"/>
      <c r="C26" s="20"/>
      <c r="D26" s="22"/>
      <c r="E26" s="20"/>
      <c r="F26" s="31" t="str">
        <f aca="false">IF($E26="","",IFERROR(INDEX('Food Library'!$B$6:$B$105,MATCH($E26,'Food Library'!$A$6:$A$105,0)),"?? code not in Library"))</f>
        <v/>
      </c>
      <c r="G26" s="32" t="str">
        <f aca="false">IF($E26="","",IFERROR(INDEX('Food Library'!$D$6:$D$105,MATCH($E26,'Food Library'!$A$6:$A$105,0)),""))</f>
        <v/>
      </c>
      <c r="H26" s="20"/>
      <c r="I26" s="20"/>
      <c r="J26" s="20"/>
      <c r="K26" s="20"/>
      <c r="L26" s="21"/>
    </row>
    <row r="27" customFormat="false" ht="15" hidden="false" customHeight="false" outlineLevel="0" collapsed="false">
      <c r="A27" s="20"/>
      <c r="B27" s="30"/>
      <c r="C27" s="20"/>
      <c r="D27" s="22"/>
      <c r="E27" s="20"/>
      <c r="F27" s="31" t="str">
        <f aca="false">IF($E27="","",IFERROR(INDEX('Food Library'!$B$6:$B$105,MATCH($E27,'Food Library'!$A$6:$A$105,0)),"?? code not in Library"))</f>
        <v/>
      </c>
      <c r="G27" s="32" t="str">
        <f aca="false">IF($E27="","",IFERROR(INDEX('Food Library'!$D$6:$D$105,MATCH($E27,'Food Library'!$A$6:$A$105,0)),""))</f>
        <v/>
      </c>
      <c r="H27" s="20"/>
      <c r="I27" s="20"/>
      <c r="J27" s="20"/>
      <c r="K27" s="20"/>
      <c r="L27" s="21"/>
    </row>
    <row r="28" customFormat="false" ht="15" hidden="false" customHeight="false" outlineLevel="0" collapsed="false">
      <c r="A28" s="20"/>
      <c r="B28" s="30"/>
      <c r="C28" s="20"/>
      <c r="D28" s="22"/>
      <c r="E28" s="20"/>
      <c r="F28" s="31" t="str">
        <f aca="false">IF($E28="","",IFERROR(INDEX('Food Library'!$B$6:$B$105,MATCH($E28,'Food Library'!$A$6:$A$105,0)),"?? code not in Library"))</f>
        <v/>
      </c>
      <c r="G28" s="32" t="str">
        <f aca="false">IF($E28="","",IFERROR(INDEX('Food Library'!$D$6:$D$105,MATCH($E28,'Food Library'!$A$6:$A$105,0)),""))</f>
        <v/>
      </c>
      <c r="H28" s="20"/>
      <c r="I28" s="20"/>
      <c r="J28" s="20"/>
      <c r="K28" s="20"/>
      <c r="L28" s="21"/>
    </row>
    <row r="29" customFormat="false" ht="15" hidden="false" customHeight="false" outlineLevel="0" collapsed="false">
      <c r="A29" s="20"/>
      <c r="B29" s="30"/>
      <c r="C29" s="20"/>
      <c r="D29" s="22"/>
      <c r="E29" s="20"/>
      <c r="F29" s="31" t="str">
        <f aca="false">IF($E29="","",IFERROR(INDEX('Food Library'!$B$6:$B$105,MATCH($E29,'Food Library'!$A$6:$A$105,0)),"?? code not in Library"))</f>
        <v/>
      </c>
      <c r="G29" s="32" t="str">
        <f aca="false">IF($E29="","",IFERROR(INDEX('Food Library'!$D$6:$D$105,MATCH($E29,'Food Library'!$A$6:$A$105,0)),""))</f>
        <v/>
      </c>
      <c r="H29" s="20"/>
      <c r="I29" s="20"/>
      <c r="J29" s="20"/>
      <c r="K29" s="20"/>
      <c r="L29" s="21"/>
    </row>
    <row r="30" customFormat="false" ht="15" hidden="false" customHeight="false" outlineLevel="0" collapsed="false">
      <c r="A30" s="20"/>
      <c r="B30" s="30"/>
      <c r="C30" s="20"/>
      <c r="D30" s="22"/>
      <c r="E30" s="20"/>
      <c r="F30" s="31" t="str">
        <f aca="false">IF($E30="","",IFERROR(INDEX('Food Library'!$B$6:$B$105,MATCH($E30,'Food Library'!$A$6:$A$105,0)),"?? code not in Library"))</f>
        <v/>
      </c>
      <c r="G30" s="32" t="str">
        <f aca="false">IF($E30="","",IFERROR(INDEX('Food Library'!$D$6:$D$105,MATCH($E30,'Food Library'!$A$6:$A$105,0)),""))</f>
        <v/>
      </c>
      <c r="H30" s="20"/>
      <c r="I30" s="20"/>
      <c r="J30" s="20"/>
      <c r="K30" s="20"/>
      <c r="L30" s="21"/>
    </row>
    <row r="31" customFormat="false" ht="15" hidden="false" customHeight="false" outlineLevel="0" collapsed="false">
      <c r="A31" s="20"/>
      <c r="B31" s="30"/>
      <c r="C31" s="20"/>
      <c r="D31" s="22"/>
      <c r="E31" s="20"/>
      <c r="F31" s="31" t="str">
        <f aca="false">IF($E31="","",IFERROR(INDEX('Food Library'!$B$6:$B$105,MATCH($E31,'Food Library'!$A$6:$A$105,0)),"?? code not in Library"))</f>
        <v/>
      </c>
      <c r="G31" s="32" t="str">
        <f aca="false">IF($E31="","",IFERROR(INDEX('Food Library'!$D$6:$D$105,MATCH($E31,'Food Library'!$A$6:$A$105,0)),""))</f>
        <v/>
      </c>
      <c r="H31" s="20"/>
      <c r="I31" s="20"/>
      <c r="J31" s="20"/>
      <c r="K31" s="20"/>
      <c r="L31" s="21"/>
    </row>
    <row r="32" customFormat="false" ht="15" hidden="false" customHeight="false" outlineLevel="0" collapsed="false">
      <c r="A32" s="20"/>
      <c r="B32" s="30"/>
      <c r="C32" s="20"/>
      <c r="D32" s="22"/>
      <c r="E32" s="20"/>
      <c r="F32" s="31" t="str">
        <f aca="false">IF($E32="","",IFERROR(INDEX('Food Library'!$B$6:$B$105,MATCH($E32,'Food Library'!$A$6:$A$105,0)),"?? code not in Library"))</f>
        <v/>
      </c>
      <c r="G32" s="32" t="str">
        <f aca="false">IF($E32="","",IFERROR(INDEX('Food Library'!$D$6:$D$105,MATCH($E32,'Food Library'!$A$6:$A$105,0)),""))</f>
        <v/>
      </c>
      <c r="H32" s="20"/>
      <c r="I32" s="20"/>
      <c r="J32" s="20"/>
      <c r="K32" s="20"/>
      <c r="L32" s="21"/>
    </row>
    <row r="33" customFormat="false" ht="15" hidden="false" customHeight="false" outlineLevel="0" collapsed="false">
      <c r="A33" s="20"/>
      <c r="B33" s="30"/>
      <c r="C33" s="20"/>
      <c r="D33" s="22"/>
      <c r="E33" s="20"/>
      <c r="F33" s="31" t="str">
        <f aca="false">IF($E33="","",IFERROR(INDEX('Food Library'!$B$6:$B$105,MATCH($E33,'Food Library'!$A$6:$A$105,0)),"?? code not in Library"))</f>
        <v/>
      </c>
      <c r="G33" s="32" t="str">
        <f aca="false">IF($E33="","",IFERROR(INDEX('Food Library'!$D$6:$D$105,MATCH($E33,'Food Library'!$A$6:$A$105,0)),""))</f>
        <v/>
      </c>
      <c r="H33" s="20"/>
      <c r="I33" s="20"/>
      <c r="J33" s="20"/>
      <c r="K33" s="20"/>
      <c r="L33" s="21"/>
    </row>
    <row r="34" customFormat="false" ht="15" hidden="false" customHeight="false" outlineLevel="0" collapsed="false">
      <c r="A34" s="20"/>
      <c r="B34" s="30"/>
      <c r="C34" s="20"/>
      <c r="D34" s="22"/>
      <c r="E34" s="20"/>
      <c r="F34" s="31" t="str">
        <f aca="false">IF($E34="","",IFERROR(INDEX('Food Library'!$B$6:$B$105,MATCH($E34,'Food Library'!$A$6:$A$105,0)),"?? code not in Library"))</f>
        <v/>
      </c>
      <c r="G34" s="32" t="str">
        <f aca="false">IF($E34="","",IFERROR(INDEX('Food Library'!$D$6:$D$105,MATCH($E34,'Food Library'!$A$6:$A$105,0)),""))</f>
        <v/>
      </c>
      <c r="H34" s="20"/>
      <c r="I34" s="20"/>
      <c r="J34" s="20"/>
      <c r="K34" s="20"/>
      <c r="L34" s="21"/>
    </row>
    <row r="35" customFormat="false" ht="15" hidden="false" customHeight="false" outlineLevel="0" collapsed="false">
      <c r="A35" s="20"/>
      <c r="B35" s="30"/>
      <c r="C35" s="20"/>
      <c r="D35" s="22"/>
      <c r="E35" s="20"/>
      <c r="F35" s="31" t="str">
        <f aca="false">IF($E35="","",IFERROR(INDEX('Food Library'!$B$6:$B$105,MATCH($E35,'Food Library'!$A$6:$A$105,0)),"?? code not in Library"))</f>
        <v/>
      </c>
      <c r="G35" s="32" t="str">
        <f aca="false">IF($E35="","",IFERROR(INDEX('Food Library'!$D$6:$D$105,MATCH($E35,'Food Library'!$A$6:$A$105,0)),""))</f>
        <v/>
      </c>
      <c r="H35" s="20"/>
      <c r="I35" s="20"/>
      <c r="J35" s="20"/>
      <c r="K35" s="20"/>
      <c r="L35" s="21"/>
    </row>
    <row r="36" customFormat="false" ht="15" hidden="false" customHeight="false" outlineLevel="0" collapsed="false">
      <c r="A36" s="20"/>
      <c r="B36" s="30"/>
      <c r="C36" s="20"/>
      <c r="D36" s="22"/>
      <c r="E36" s="20"/>
      <c r="F36" s="31" t="str">
        <f aca="false">IF($E36="","",IFERROR(INDEX('Food Library'!$B$6:$B$105,MATCH($E36,'Food Library'!$A$6:$A$105,0)),"?? code not in Library"))</f>
        <v/>
      </c>
      <c r="G36" s="32" t="str">
        <f aca="false">IF($E36="","",IFERROR(INDEX('Food Library'!$D$6:$D$105,MATCH($E36,'Food Library'!$A$6:$A$105,0)),""))</f>
        <v/>
      </c>
      <c r="H36" s="20"/>
      <c r="I36" s="20"/>
      <c r="J36" s="20"/>
      <c r="K36" s="20"/>
      <c r="L36" s="21"/>
    </row>
    <row r="37" customFormat="false" ht="15" hidden="false" customHeight="false" outlineLevel="0" collapsed="false">
      <c r="A37" s="20"/>
      <c r="B37" s="30"/>
      <c r="C37" s="20"/>
      <c r="D37" s="22"/>
      <c r="E37" s="20"/>
      <c r="F37" s="31" t="str">
        <f aca="false">IF($E37="","",IFERROR(INDEX('Food Library'!$B$6:$B$105,MATCH($E37,'Food Library'!$A$6:$A$105,0)),"?? code not in Library"))</f>
        <v/>
      </c>
      <c r="G37" s="32" t="str">
        <f aca="false">IF($E37="","",IFERROR(INDEX('Food Library'!$D$6:$D$105,MATCH($E37,'Food Library'!$A$6:$A$105,0)),""))</f>
        <v/>
      </c>
      <c r="H37" s="20"/>
      <c r="I37" s="20"/>
      <c r="J37" s="20"/>
      <c r="K37" s="20"/>
      <c r="L37" s="21"/>
    </row>
    <row r="38" customFormat="false" ht="15" hidden="false" customHeight="false" outlineLevel="0" collapsed="false">
      <c r="A38" s="20"/>
      <c r="B38" s="30"/>
      <c r="C38" s="20"/>
      <c r="D38" s="22"/>
      <c r="E38" s="20"/>
      <c r="F38" s="31" t="str">
        <f aca="false">IF($E38="","",IFERROR(INDEX('Food Library'!$B$6:$B$105,MATCH($E38,'Food Library'!$A$6:$A$105,0)),"?? code not in Library"))</f>
        <v/>
      </c>
      <c r="G38" s="32" t="str">
        <f aca="false">IF($E38="","",IFERROR(INDEX('Food Library'!$D$6:$D$105,MATCH($E38,'Food Library'!$A$6:$A$105,0)),""))</f>
        <v/>
      </c>
      <c r="H38" s="20"/>
      <c r="I38" s="20"/>
      <c r="J38" s="20"/>
      <c r="K38" s="20"/>
      <c r="L38" s="21"/>
    </row>
    <row r="39" customFormat="false" ht="15" hidden="false" customHeight="false" outlineLevel="0" collapsed="false">
      <c r="A39" s="20"/>
      <c r="B39" s="30"/>
      <c r="C39" s="20"/>
      <c r="D39" s="22"/>
      <c r="E39" s="20"/>
      <c r="F39" s="31" t="str">
        <f aca="false">IF($E39="","",IFERROR(INDEX('Food Library'!$B$6:$B$105,MATCH($E39,'Food Library'!$A$6:$A$105,0)),"?? code not in Library"))</f>
        <v/>
      </c>
      <c r="G39" s="32" t="str">
        <f aca="false">IF($E39="","",IFERROR(INDEX('Food Library'!$D$6:$D$105,MATCH($E39,'Food Library'!$A$6:$A$105,0)),""))</f>
        <v/>
      </c>
      <c r="H39" s="20"/>
      <c r="I39" s="20"/>
      <c r="J39" s="20"/>
      <c r="K39" s="20"/>
      <c r="L39" s="21"/>
    </row>
    <row r="40" customFormat="false" ht="15" hidden="false" customHeight="false" outlineLevel="0" collapsed="false">
      <c r="A40" s="20"/>
      <c r="B40" s="30"/>
      <c r="C40" s="20"/>
      <c r="D40" s="22"/>
      <c r="E40" s="20"/>
      <c r="F40" s="31" t="str">
        <f aca="false">IF($E40="","",IFERROR(INDEX('Food Library'!$B$6:$B$105,MATCH($E40,'Food Library'!$A$6:$A$105,0)),"?? code not in Library"))</f>
        <v/>
      </c>
      <c r="G40" s="32" t="str">
        <f aca="false">IF($E40="","",IFERROR(INDEX('Food Library'!$D$6:$D$105,MATCH($E40,'Food Library'!$A$6:$A$105,0)),""))</f>
        <v/>
      </c>
      <c r="H40" s="20"/>
      <c r="I40" s="20"/>
      <c r="J40" s="20"/>
      <c r="K40" s="20"/>
      <c r="L40" s="21"/>
    </row>
    <row r="41" customFormat="false" ht="15" hidden="false" customHeight="false" outlineLevel="0" collapsed="false">
      <c r="A41" s="20"/>
      <c r="B41" s="30"/>
      <c r="C41" s="20"/>
      <c r="D41" s="22"/>
      <c r="E41" s="20"/>
      <c r="F41" s="31" t="str">
        <f aca="false">IF($E41="","",IFERROR(INDEX('Food Library'!$B$6:$B$105,MATCH($E41,'Food Library'!$A$6:$A$105,0)),"?? code not in Library"))</f>
        <v/>
      </c>
      <c r="G41" s="32" t="str">
        <f aca="false">IF($E41="","",IFERROR(INDEX('Food Library'!$D$6:$D$105,MATCH($E41,'Food Library'!$A$6:$A$105,0)),""))</f>
        <v/>
      </c>
      <c r="H41" s="20"/>
      <c r="I41" s="20"/>
      <c r="J41" s="20"/>
      <c r="K41" s="20"/>
      <c r="L41" s="21"/>
    </row>
    <row r="42" customFormat="false" ht="15" hidden="false" customHeight="false" outlineLevel="0" collapsed="false">
      <c r="A42" s="20"/>
      <c r="B42" s="30"/>
      <c r="C42" s="20"/>
      <c r="D42" s="22"/>
      <c r="E42" s="20"/>
      <c r="F42" s="31" t="str">
        <f aca="false">IF($E42="","",IFERROR(INDEX('Food Library'!$B$6:$B$105,MATCH($E42,'Food Library'!$A$6:$A$105,0)),"?? code not in Library"))</f>
        <v/>
      </c>
      <c r="G42" s="32" t="str">
        <f aca="false">IF($E42="","",IFERROR(INDEX('Food Library'!$D$6:$D$105,MATCH($E42,'Food Library'!$A$6:$A$105,0)),""))</f>
        <v/>
      </c>
      <c r="H42" s="20"/>
      <c r="I42" s="20"/>
      <c r="J42" s="20"/>
      <c r="K42" s="20"/>
      <c r="L42" s="21"/>
    </row>
    <row r="43" customFormat="false" ht="15" hidden="false" customHeight="false" outlineLevel="0" collapsed="false">
      <c r="A43" s="20"/>
      <c r="B43" s="30"/>
      <c r="C43" s="20"/>
      <c r="D43" s="22"/>
      <c r="E43" s="20"/>
      <c r="F43" s="31" t="str">
        <f aca="false">IF($E43="","",IFERROR(INDEX('Food Library'!$B$6:$B$105,MATCH($E43,'Food Library'!$A$6:$A$105,0)),"?? code not in Library"))</f>
        <v/>
      </c>
      <c r="G43" s="32" t="str">
        <f aca="false">IF($E43="","",IFERROR(INDEX('Food Library'!$D$6:$D$105,MATCH($E43,'Food Library'!$A$6:$A$105,0)),""))</f>
        <v/>
      </c>
      <c r="H43" s="20"/>
      <c r="I43" s="20"/>
      <c r="J43" s="20"/>
      <c r="K43" s="20"/>
      <c r="L43" s="21"/>
    </row>
    <row r="44" customFormat="false" ht="15" hidden="false" customHeight="false" outlineLevel="0" collapsed="false">
      <c r="A44" s="20"/>
      <c r="B44" s="30"/>
      <c r="C44" s="20"/>
      <c r="D44" s="22"/>
      <c r="E44" s="20"/>
      <c r="F44" s="31" t="str">
        <f aca="false">IF($E44="","",IFERROR(INDEX('Food Library'!$B$6:$B$105,MATCH($E44,'Food Library'!$A$6:$A$105,0)),"?? code not in Library"))</f>
        <v/>
      </c>
      <c r="G44" s="32" t="str">
        <f aca="false">IF($E44="","",IFERROR(INDEX('Food Library'!$D$6:$D$105,MATCH($E44,'Food Library'!$A$6:$A$105,0)),""))</f>
        <v/>
      </c>
      <c r="H44" s="20"/>
      <c r="I44" s="20"/>
      <c r="J44" s="20"/>
      <c r="K44" s="20"/>
      <c r="L44" s="21"/>
    </row>
    <row r="45" customFormat="false" ht="15" hidden="false" customHeight="false" outlineLevel="0" collapsed="false">
      <c r="A45" s="20"/>
      <c r="B45" s="30"/>
      <c r="C45" s="20"/>
      <c r="D45" s="22"/>
      <c r="E45" s="20"/>
      <c r="F45" s="31" t="str">
        <f aca="false">IF($E45="","",IFERROR(INDEX('Food Library'!$B$6:$B$105,MATCH($E45,'Food Library'!$A$6:$A$105,0)),"?? code not in Library"))</f>
        <v/>
      </c>
      <c r="G45" s="32" t="str">
        <f aca="false">IF($E45="","",IFERROR(INDEX('Food Library'!$D$6:$D$105,MATCH($E45,'Food Library'!$A$6:$A$105,0)),""))</f>
        <v/>
      </c>
      <c r="H45" s="20"/>
      <c r="I45" s="20"/>
      <c r="J45" s="20"/>
      <c r="K45" s="20"/>
      <c r="L45" s="21"/>
    </row>
    <row r="46" customFormat="false" ht="15" hidden="false" customHeight="false" outlineLevel="0" collapsed="false">
      <c r="A46" s="20"/>
      <c r="B46" s="30"/>
      <c r="C46" s="20"/>
      <c r="D46" s="22"/>
      <c r="E46" s="20"/>
      <c r="F46" s="31" t="str">
        <f aca="false">IF($E46="","",IFERROR(INDEX('Food Library'!$B$6:$B$105,MATCH($E46,'Food Library'!$A$6:$A$105,0)),"?? code not in Library"))</f>
        <v/>
      </c>
      <c r="G46" s="32" t="str">
        <f aca="false">IF($E46="","",IFERROR(INDEX('Food Library'!$D$6:$D$105,MATCH($E46,'Food Library'!$A$6:$A$105,0)),""))</f>
        <v/>
      </c>
      <c r="H46" s="20"/>
      <c r="I46" s="20"/>
      <c r="J46" s="20"/>
      <c r="K46" s="20"/>
      <c r="L46" s="21"/>
    </row>
    <row r="47" customFormat="false" ht="15" hidden="false" customHeight="false" outlineLevel="0" collapsed="false">
      <c r="A47" s="20"/>
      <c r="B47" s="30"/>
      <c r="C47" s="20"/>
      <c r="D47" s="22"/>
      <c r="E47" s="20"/>
      <c r="F47" s="31" t="str">
        <f aca="false">IF($E47="","",IFERROR(INDEX('Food Library'!$B$6:$B$105,MATCH($E47,'Food Library'!$A$6:$A$105,0)),"?? code not in Library"))</f>
        <v/>
      </c>
      <c r="G47" s="32" t="str">
        <f aca="false">IF($E47="","",IFERROR(INDEX('Food Library'!$D$6:$D$105,MATCH($E47,'Food Library'!$A$6:$A$105,0)),""))</f>
        <v/>
      </c>
      <c r="H47" s="20"/>
      <c r="I47" s="20"/>
      <c r="J47" s="20"/>
      <c r="K47" s="20"/>
      <c r="L47" s="21"/>
    </row>
    <row r="48" customFormat="false" ht="15" hidden="false" customHeight="false" outlineLevel="0" collapsed="false">
      <c r="A48" s="20"/>
      <c r="B48" s="30"/>
      <c r="C48" s="20"/>
      <c r="D48" s="22"/>
      <c r="E48" s="20"/>
      <c r="F48" s="31" t="str">
        <f aca="false">IF($E48="","",IFERROR(INDEX('Food Library'!$B$6:$B$105,MATCH($E48,'Food Library'!$A$6:$A$105,0)),"?? code not in Library"))</f>
        <v/>
      </c>
      <c r="G48" s="32" t="str">
        <f aca="false">IF($E48="","",IFERROR(INDEX('Food Library'!$D$6:$D$105,MATCH($E48,'Food Library'!$A$6:$A$105,0)),""))</f>
        <v/>
      </c>
      <c r="H48" s="20"/>
      <c r="I48" s="20"/>
      <c r="J48" s="20"/>
      <c r="K48" s="20"/>
      <c r="L48" s="21"/>
    </row>
    <row r="49" customFormat="false" ht="15" hidden="false" customHeight="false" outlineLevel="0" collapsed="false">
      <c r="A49" s="20"/>
      <c r="B49" s="30"/>
      <c r="C49" s="20"/>
      <c r="D49" s="22"/>
      <c r="E49" s="20"/>
      <c r="F49" s="31" t="str">
        <f aca="false">IF($E49="","",IFERROR(INDEX('Food Library'!$B$6:$B$105,MATCH($E49,'Food Library'!$A$6:$A$105,0)),"?? code not in Library"))</f>
        <v/>
      </c>
      <c r="G49" s="32" t="str">
        <f aca="false">IF($E49="","",IFERROR(INDEX('Food Library'!$D$6:$D$105,MATCH($E49,'Food Library'!$A$6:$A$105,0)),""))</f>
        <v/>
      </c>
      <c r="H49" s="20"/>
      <c r="I49" s="20"/>
      <c r="J49" s="20"/>
      <c r="K49" s="20"/>
      <c r="L49" s="21"/>
    </row>
    <row r="50" customFormat="false" ht="15" hidden="false" customHeight="false" outlineLevel="0" collapsed="false">
      <c r="A50" s="20"/>
      <c r="B50" s="30"/>
      <c r="C50" s="20"/>
      <c r="D50" s="22"/>
      <c r="E50" s="20"/>
      <c r="F50" s="31" t="str">
        <f aca="false">IF($E50="","",IFERROR(INDEX('Food Library'!$B$6:$B$105,MATCH($E50,'Food Library'!$A$6:$A$105,0)),"?? code not in Library"))</f>
        <v/>
      </c>
      <c r="G50" s="32" t="str">
        <f aca="false">IF($E50="","",IFERROR(INDEX('Food Library'!$D$6:$D$105,MATCH($E50,'Food Library'!$A$6:$A$105,0)),""))</f>
        <v/>
      </c>
      <c r="H50" s="20"/>
      <c r="I50" s="20"/>
      <c r="J50" s="20"/>
      <c r="K50" s="20"/>
      <c r="L50" s="21"/>
    </row>
    <row r="51" customFormat="false" ht="15" hidden="false" customHeight="false" outlineLevel="0" collapsed="false">
      <c r="A51" s="20"/>
      <c r="B51" s="30"/>
      <c r="C51" s="20"/>
      <c r="D51" s="22"/>
      <c r="E51" s="20"/>
      <c r="F51" s="31" t="str">
        <f aca="false">IF($E51="","",IFERROR(INDEX('Food Library'!$B$6:$B$105,MATCH($E51,'Food Library'!$A$6:$A$105,0)),"?? code not in Library"))</f>
        <v/>
      </c>
      <c r="G51" s="32" t="str">
        <f aca="false">IF($E51="","",IFERROR(INDEX('Food Library'!$D$6:$D$105,MATCH($E51,'Food Library'!$A$6:$A$105,0)),""))</f>
        <v/>
      </c>
      <c r="H51" s="20"/>
      <c r="I51" s="20"/>
      <c r="J51" s="20"/>
      <c r="K51" s="20"/>
      <c r="L51" s="21"/>
    </row>
    <row r="52" customFormat="false" ht="15" hidden="false" customHeight="false" outlineLevel="0" collapsed="false">
      <c r="A52" s="20"/>
      <c r="B52" s="30"/>
      <c r="C52" s="20"/>
      <c r="D52" s="22"/>
      <c r="E52" s="20"/>
      <c r="F52" s="31" t="str">
        <f aca="false">IF($E52="","",IFERROR(INDEX('Food Library'!$B$6:$B$105,MATCH($E52,'Food Library'!$A$6:$A$105,0)),"?? code not in Library"))</f>
        <v/>
      </c>
      <c r="G52" s="32" t="str">
        <f aca="false">IF($E52="","",IFERROR(INDEX('Food Library'!$D$6:$D$105,MATCH($E52,'Food Library'!$A$6:$A$105,0)),""))</f>
        <v/>
      </c>
      <c r="H52" s="20"/>
      <c r="I52" s="20"/>
      <c r="J52" s="20"/>
      <c r="K52" s="20"/>
      <c r="L52" s="21"/>
    </row>
    <row r="53" customFormat="false" ht="15" hidden="false" customHeight="false" outlineLevel="0" collapsed="false">
      <c r="A53" s="20"/>
      <c r="B53" s="30"/>
      <c r="C53" s="20"/>
      <c r="D53" s="22"/>
      <c r="E53" s="20"/>
      <c r="F53" s="31" t="str">
        <f aca="false">IF($E53="","",IFERROR(INDEX('Food Library'!$B$6:$B$105,MATCH($E53,'Food Library'!$A$6:$A$105,0)),"?? code not in Library"))</f>
        <v/>
      </c>
      <c r="G53" s="32" t="str">
        <f aca="false">IF($E53="","",IFERROR(INDEX('Food Library'!$D$6:$D$105,MATCH($E53,'Food Library'!$A$6:$A$105,0)),""))</f>
        <v/>
      </c>
      <c r="H53" s="20"/>
      <c r="I53" s="20"/>
      <c r="J53" s="20"/>
      <c r="K53" s="20"/>
      <c r="L53" s="21"/>
    </row>
    <row r="54" customFormat="false" ht="15" hidden="false" customHeight="false" outlineLevel="0" collapsed="false">
      <c r="A54" s="20"/>
      <c r="B54" s="30"/>
      <c r="C54" s="20"/>
      <c r="D54" s="22"/>
      <c r="E54" s="20"/>
      <c r="F54" s="31" t="str">
        <f aca="false">IF($E54="","",IFERROR(INDEX('Food Library'!$B$6:$B$105,MATCH($E54,'Food Library'!$A$6:$A$105,0)),"?? code not in Library"))</f>
        <v/>
      </c>
      <c r="G54" s="32" t="str">
        <f aca="false">IF($E54="","",IFERROR(INDEX('Food Library'!$D$6:$D$105,MATCH($E54,'Food Library'!$A$6:$A$105,0)),""))</f>
        <v/>
      </c>
      <c r="H54" s="20"/>
      <c r="I54" s="20"/>
      <c r="J54" s="20"/>
      <c r="K54" s="20"/>
      <c r="L54" s="21"/>
    </row>
    <row r="55" customFormat="false" ht="15" hidden="false" customHeight="false" outlineLevel="0" collapsed="false">
      <c r="A55" s="20"/>
      <c r="B55" s="30"/>
      <c r="C55" s="20"/>
      <c r="D55" s="22"/>
      <c r="E55" s="20"/>
      <c r="F55" s="31" t="str">
        <f aca="false">IF($E55="","",IFERROR(INDEX('Food Library'!$B$6:$B$105,MATCH($E55,'Food Library'!$A$6:$A$105,0)),"?? code not in Library"))</f>
        <v/>
      </c>
      <c r="G55" s="32" t="str">
        <f aca="false">IF($E55="","",IFERROR(INDEX('Food Library'!$D$6:$D$105,MATCH($E55,'Food Library'!$A$6:$A$105,0)),""))</f>
        <v/>
      </c>
      <c r="H55" s="20"/>
      <c r="I55" s="20"/>
      <c r="J55" s="20"/>
      <c r="K55" s="20"/>
      <c r="L55" s="21"/>
    </row>
    <row r="56" customFormat="false" ht="15" hidden="false" customHeight="false" outlineLevel="0" collapsed="false">
      <c r="A56" s="20"/>
      <c r="B56" s="30"/>
      <c r="C56" s="20"/>
      <c r="D56" s="22"/>
      <c r="E56" s="20"/>
      <c r="F56" s="31" t="str">
        <f aca="false">IF($E56="","",IFERROR(INDEX('Food Library'!$B$6:$B$105,MATCH($E56,'Food Library'!$A$6:$A$105,0)),"?? code not in Library"))</f>
        <v/>
      </c>
      <c r="G56" s="32" t="str">
        <f aca="false">IF($E56="","",IFERROR(INDEX('Food Library'!$D$6:$D$105,MATCH($E56,'Food Library'!$A$6:$A$105,0)),""))</f>
        <v/>
      </c>
      <c r="H56" s="20"/>
      <c r="I56" s="20"/>
      <c r="J56" s="20"/>
      <c r="K56" s="20"/>
      <c r="L56" s="21"/>
    </row>
    <row r="57" customFormat="false" ht="15" hidden="false" customHeight="false" outlineLevel="0" collapsed="false">
      <c r="A57" s="20"/>
      <c r="B57" s="30"/>
      <c r="C57" s="20"/>
      <c r="D57" s="22"/>
      <c r="E57" s="20"/>
      <c r="F57" s="31" t="str">
        <f aca="false">IF($E57="","",IFERROR(INDEX('Food Library'!$B$6:$B$105,MATCH($E57,'Food Library'!$A$6:$A$105,0)),"?? code not in Library"))</f>
        <v/>
      </c>
      <c r="G57" s="32" t="str">
        <f aca="false">IF($E57="","",IFERROR(INDEX('Food Library'!$D$6:$D$105,MATCH($E57,'Food Library'!$A$6:$A$105,0)),""))</f>
        <v/>
      </c>
      <c r="H57" s="20"/>
      <c r="I57" s="20"/>
      <c r="J57" s="20"/>
      <c r="K57" s="20"/>
      <c r="L57" s="21"/>
    </row>
    <row r="58" customFormat="false" ht="15" hidden="false" customHeight="false" outlineLevel="0" collapsed="false">
      <c r="A58" s="20"/>
      <c r="B58" s="30"/>
      <c r="C58" s="20"/>
      <c r="D58" s="22"/>
      <c r="E58" s="20"/>
      <c r="F58" s="31" t="str">
        <f aca="false">IF($E58="","",IFERROR(INDEX('Food Library'!$B$6:$B$105,MATCH($E58,'Food Library'!$A$6:$A$105,0)),"?? code not in Library"))</f>
        <v/>
      </c>
      <c r="G58" s="32" t="str">
        <f aca="false">IF($E58="","",IFERROR(INDEX('Food Library'!$D$6:$D$105,MATCH($E58,'Food Library'!$A$6:$A$105,0)),""))</f>
        <v/>
      </c>
      <c r="H58" s="20"/>
      <c r="I58" s="20"/>
      <c r="J58" s="20"/>
      <c r="K58" s="20"/>
      <c r="L58" s="21"/>
    </row>
    <row r="59" customFormat="false" ht="15" hidden="false" customHeight="false" outlineLevel="0" collapsed="false">
      <c r="A59" s="20"/>
      <c r="B59" s="30"/>
      <c r="C59" s="20"/>
      <c r="D59" s="22"/>
      <c r="E59" s="20"/>
      <c r="F59" s="31" t="str">
        <f aca="false">IF($E59="","",IFERROR(INDEX('Food Library'!$B$6:$B$105,MATCH($E59,'Food Library'!$A$6:$A$105,0)),"?? code not in Library"))</f>
        <v/>
      </c>
      <c r="G59" s="32" t="str">
        <f aca="false">IF($E59="","",IFERROR(INDEX('Food Library'!$D$6:$D$105,MATCH($E59,'Food Library'!$A$6:$A$105,0)),""))</f>
        <v/>
      </c>
      <c r="H59" s="20"/>
      <c r="I59" s="20"/>
      <c r="J59" s="20"/>
      <c r="K59" s="20"/>
      <c r="L59" s="21"/>
    </row>
    <row r="60" customFormat="false" ht="15" hidden="false" customHeight="false" outlineLevel="0" collapsed="false">
      <c r="A60" s="20"/>
      <c r="B60" s="30"/>
      <c r="C60" s="20"/>
      <c r="D60" s="22"/>
      <c r="E60" s="20"/>
      <c r="F60" s="31" t="str">
        <f aca="false">IF($E60="","",IFERROR(INDEX('Food Library'!$B$6:$B$105,MATCH($E60,'Food Library'!$A$6:$A$105,0)),"?? code not in Library"))</f>
        <v/>
      </c>
      <c r="G60" s="32" t="str">
        <f aca="false">IF($E60="","",IFERROR(INDEX('Food Library'!$D$6:$D$105,MATCH($E60,'Food Library'!$A$6:$A$105,0)),""))</f>
        <v/>
      </c>
      <c r="H60" s="20"/>
      <c r="I60" s="20"/>
      <c r="J60" s="20"/>
      <c r="K60" s="20"/>
      <c r="L60" s="21"/>
    </row>
    <row r="61" customFormat="false" ht="15" hidden="false" customHeight="false" outlineLevel="0" collapsed="false">
      <c r="A61" s="20"/>
      <c r="B61" s="30"/>
      <c r="C61" s="20"/>
      <c r="D61" s="22"/>
      <c r="E61" s="20"/>
      <c r="F61" s="31" t="str">
        <f aca="false">IF($E61="","",IFERROR(INDEX('Food Library'!$B$6:$B$105,MATCH($E61,'Food Library'!$A$6:$A$105,0)),"?? code not in Library"))</f>
        <v/>
      </c>
      <c r="G61" s="32" t="str">
        <f aca="false">IF($E61="","",IFERROR(INDEX('Food Library'!$D$6:$D$105,MATCH($E61,'Food Library'!$A$6:$A$105,0)),""))</f>
        <v/>
      </c>
      <c r="H61" s="20"/>
      <c r="I61" s="20"/>
      <c r="J61" s="20"/>
      <c r="K61" s="20"/>
      <c r="L61" s="21"/>
    </row>
    <row r="62" customFormat="false" ht="15" hidden="false" customHeight="false" outlineLevel="0" collapsed="false">
      <c r="A62" s="20"/>
      <c r="B62" s="30"/>
      <c r="C62" s="20"/>
      <c r="D62" s="22"/>
      <c r="E62" s="20"/>
      <c r="F62" s="31" t="str">
        <f aca="false">IF($E62="","",IFERROR(INDEX('Food Library'!$B$6:$B$105,MATCH($E62,'Food Library'!$A$6:$A$105,0)),"?? code not in Library"))</f>
        <v/>
      </c>
      <c r="G62" s="32" t="str">
        <f aca="false">IF($E62="","",IFERROR(INDEX('Food Library'!$D$6:$D$105,MATCH($E62,'Food Library'!$A$6:$A$105,0)),""))</f>
        <v/>
      </c>
      <c r="H62" s="20"/>
      <c r="I62" s="20"/>
      <c r="J62" s="20"/>
      <c r="K62" s="20"/>
      <c r="L62" s="21"/>
    </row>
    <row r="63" customFormat="false" ht="15" hidden="false" customHeight="false" outlineLevel="0" collapsed="false">
      <c r="A63" s="20"/>
      <c r="B63" s="30"/>
      <c r="C63" s="20"/>
      <c r="D63" s="22"/>
      <c r="E63" s="20"/>
      <c r="F63" s="31" t="str">
        <f aca="false">IF($E63="","",IFERROR(INDEX('Food Library'!$B$6:$B$105,MATCH($E63,'Food Library'!$A$6:$A$105,0)),"?? code not in Library"))</f>
        <v/>
      </c>
      <c r="G63" s="32" t="str">
        <f aca="false">IF($E63="","",IFERROR(INDEX('Food Library'!$D$6:$D$105,MATCH($E63,'Food Library'!$A$6:$A$105,0)),""))</f>
        <v/>
      </c>
      <c r="H63" s="20"/>
      <c r="I63" s="20"/>
      <c r="J63" s="20"/>
      <c r="K63" s="20"/>
      <c r="L63" s="21"/>
    </row>
    <row r="64" customFormat="false" ht="15" hidden="false" customHeight="false" outlineLevel="0" collapsed="false">
      <c r="A64" s="20"/>
      <c r="B64" s="30"/>
      <c r="C64" s="20"/>
      <c r="D64" s="22"/>
      <c r="E64" s="20"/>
      <c r="F64" s="31" t="str">
        <f aca="false">IF($E64="","",IFERROR(INDEX('Food Library'!$B$6:$B$105,MATCH($E64,'Food Library'!$A$6:$A$105,0)),"?? code not in Library"))</f>
        <v/>
      </c>
      <c r="G64" s="32" t="str">
        <f aca="false">IF($E64="","",IFERROR(INDEX('Food Library'!$D$6:$D$105,MATCH($E64,'Food Library'!$A$6:$A$105,0)),""))</f>
        <v/>
      </c>
      <c r="H64" s="20"/>
      <c r="I64" s="20"/>
      <c r="J64" s="20"/>
      <c r="K64" s="20"/>
      <c r="L64" s="21"/>
    </row>
    <row r="65" customFormat="false" ht="15" hidden="false" customHeight="false" outlineLevel="0" collapsed="false">
      <c r="A65" s="20"/>
      <c r="B65" s="30"/>
      <c r="C65" s="20"/>
      <c r="D65" s="22"/>
      <c r="E65" s="20"/>
      <c r="F65" s="31" t="str">
        <f aca="false">IF($E65="","",IFERROR(INDEX('Food Library'!$B$6:$B$105,MATCH($E65,'Food Library'!$A$6:$A$105,0)),"?? code not in Library"))</f>
        <v/>
      </c>
      <c r="G65" s="32" t="str">
        <f aca="false">IF($E65="","",IFERROR(INDEX('Food Library'!$D$6:$D$105,MATCH($E65,'Food Library'!$A$6:$A$105,0)),""))</f>
        <v/>
      </c>
      <c r="H65" s="20"/>
      <c r="I65" s="20"/>
      <c r="J65" s="20"/>
      <c r="K65" s="20"/>
      <c r="L65" s="21"/>
    </row>
    <row r="66" customFormat="false" ht="15" hidden="false" customHeight="false" outlineLevel="0" collapsed="false">
      <c r="A66" s="20"/>
      <c r="B66" s="30"/>
      <c r="C66" s="20"/>
      <c r="D66" s="22"/>
      <c r="E66" s="20"/>
      <c r="F66" s="31" t="str">
        <f aca="false">IF($E66="","",IFERROR(INDEX('Food Library'!$B$6:$B$105,MATCH($E66,'Food Library'!$A$6:$A$105,0)),"?? code not in Library"))</f>
        <v/>
      </c>
      <c r="G66" s="32" t="str">
        <f aca="false">IF($E66="","",IFERROR(INDEX('Food Library'!$D$6:$D$105,MATCH($E66,'Food Library'!$A$6:$A$105,0)),""))</f>
        <v/>
      </c>
      <c r="H66" s="20"/>
      <c r="I66" s="20"/>
      <c r="J66" s="20"/>
      <c r="K66" s="20"/>
      <c r="L66" s="21"/>
    </row>
    <row r="67" customFormat="false" ht="15" hidden="false" customHeight="false" outlineLevel="0" collapsed="false">
      <c r="A67" s="20"/>
      <c r="B67" s="30"/>
      <c r="C67" s="20"/>
      <c r="D67" s="22"/>
      <c r="E67" s="20"/>
      <c r="F67" s="31" t="str">
        <f aca="false">IF($E67="","",IFERROR(INDEX('Food Library'!$B$6:$B$105,MATCH($E67,'Food Library'!$A$6:$A$105,0)),"?? code not in Library"))</f>
        <v/>
      </c>
      <c r="G67" s="32" t="str">
        <f aca="false">IF($E67="","",IFERROR(INDEX('Food Library'!$D$6:$D$105,MATCH($E67,'Food Library'!$A$6:$A$105,0)),""))</f>
        <v/>
      </c>
      <c r="H67" s="20"/>
      <c r="I67" s="20"/>
      <c r="J67" s="20"/>
      <c r="K67" s="20"/>
      <c r="L67" s="21"/>
    </row>
    <row r="68" customFormat="false" ht="15" hidden="false" customHeight="false" outlineLevel="0" collapsed="false">
      <c r="A68" s="20"/>
      <c r="B68" s="30"/>
      <c r="C68" s="20"/>
      <c r="D68" s="22"/>
      <c r="E68" s="20"/>
      <c r="F68" s="31" t="str">
        <f aca="false">IF($E68="","",IFERROR(INDEX('Food Library'!$B$6:$B$105,MATCH($E68,'Food Library'!$A$6:$A$105,0)),"?? code not in Library"))</f>
        <v/>
      </c>
      <c r="G68" s="32" t="str">
        <f aca="false">IF($E68="","",IFERROR(INDEX('Food Library'!$D$6:$D$105,MATCH($E68,'Food Library'!$A$6:$A$105,0)),""))</f>
        <v/>
      </c>
      <c r="H68" s="20"/>
      <c r="I68" s="20"/>
      <c r="J68" s="20"/>
      <c r="K68" s="20"/>
      <c r="L68" s="21"/>
    </row>
    <row r="69" customFormat="false" ht="15" hidden="false" customHeight="false" outlineLevel="0" collapsed="false">
      <c r="A69" s="20"/>
      <c r="B69" s="30"/>
      <c r="C69" s="20"/>
      <c r="D69" s="22"/>
      <c r="E69" s="20"/>
      <c r="F69" s="31" t="str">
        <f aca="false">IF($E69="","",IFERROR(INDEX('Food Library'!$B$6:$B$105,MATCH($E69,'Food Library'!$A$6:$A$105,0)),"?? code not in Library"))</f>
        <v/>
      </c>
      <c r="G69" s="32" t="str">
        <f aca="false">IF($E69="","",IFERROR(INDEX('Food Library'!$D$6:$D$105,MATCH($E69,'Food Library'!$A$6:$A$105,0)),""))</f>
        <v/>
      </c>
      <c r="H69" s="20"/>
      <c r="I69" s="20"/>
      <c r="J69" s="20"/>
      <c r="K69" s="20"/>
      <c r="L69" s="21"/>
    </row>
    <row r="70" customFormat="false" ht="15" hidden="false" customHeight="false" outlineLevel="0" collapsed="false">
      <c r="A70" s="20"/>
      <c r="B70" s="30"/>
      <c r="C70" s="20"/>
      <c r="D70" s="22"/>
      <c r="E70" s="20"/>
      <c r="F70" s="31" t="str">
        <f aca="false">IF($E70="","",IFERROR(INDEX('Food Library'!$B$6:$B$105,MATCH($E70,'Food Library'!$A$6:$A$105,0)),"?? code not in Library"))</f>
        <v/>
      </c>
      <c r="G70" s="32" t="str">
        <f aca="false">IF($E70="","",IFERROR(INDEX('Food Library'!$D$6:$D$105,MATCH($E70,'Food Library'!$A$6:$A$105,0)),""))</f>
        <v/>
      </c>
      <c r="H70" s="20"/>
      <c r="I70" s="20"/>
      <c r="J70" s="20"/>
      <c r="K70" s="20"/>
      <c r="L70" s="21"/>
    </row>
    <row r="71" customFormat="false" ht="15" hidden="false" customHeight="false" outlineLevel="0" collapsed="false">
      <c r="A71" s="20"/>
      <c r="B71" s="30"/>
      <c r="C71" s="20"/>
      <c r="D71" s="22"/>
      <c r="E71" s="20"/>
      <c r="F71" s="31" t="str">
        <f aca="false">IF($E71="","",IFERROR(INDEX('Food Library'!$B$6:$B$105,MATCH($E71,'Food Library'!$A$6:$A$105,0)),"?? code not in Library"))</f>
        <v/>
      </c>
      <c r="G71" s="32" t="str">
        <f aca="false">IF($E71="","",IFERROR(INDEX('Food Library'!$D$6:$D$105,MATCH($E71,'Food Library'!$A$6:$A$105,0)),""))</f>
        <v/>
      </c>
      <c r="H71" s="20"/>
      <c r="I71" s="20"/>
      <c r="J71" s="20"/>
      <c r="K71" s="20"/>
      <c r="L71" s="21"/>
    </row>
    <row r="72" customFormat="false" ht="15" hidden="false" customHeight="false" outlineLevel="0" collapsed="false">
      <c r="A72" s="20"/>
      <c r="B72" s="30"/>
      <c r="C72" s="20"/>
      <c r="D72" s="22"/>
      <c r="E72" s="20"/>
      <c r="F72" s="31" t="str">
        <f aca="false">IF($E72="","",IFERROR(INDEX('Food Library'!$B$6:$B$105,MATCH($E72,'Food Library'!$A$6:$A$105,0)),"?? code not in Library"))</f>
        <v/>
      </c>
      <c r="G72" s="32" t="str">
        <f aca="false">IF($E72="","",IFERROR(INDEX('Food Library'!$D$6:$D$105,MATCH($E72,'Food Library'!$A$6:$A$105,0)),""))</f>
        <v/>
      </c>
      <c r="H72" s="20"/>
      <c r="I72" s="20"/>
      <c r="J72" s="20"/>
      <c r="K72" s="20"/>
      <c r="L72" s="21"/>
    </row>
    <row r="73" customFormat="false" ht="15" hidden="false" customHeight="false" outlineLevel="0" collapsed="false">
      <c r="A73" s="20"/>
      <c r="B73" s="30"/>
      <c r="C73" s="20"/>
      <c r="D73" s="22"/>
      <c r="E73" s="20"/>
      <c r="F73" s="31" t="str">
        <f aca="false">IF($E73="","",IFERROR(INDEX('Food Library'!$B$6:$B$105,MATCH($E73,'Food Library'!$A$6:$A$105,0)),"?? code not in Library"))</f>
        <v/>
      </c>
      <c r="G73" s="32" t="str">
        <f aca="false">IF($E73="","",IFERROR(INDEX('Food Library'!$D$6:$D$105,MATCH($E73,'Food Library'!$A$6:$A$105,0)),""))</f>
        <v/>
      </c>
      <c r="H73" s="20"/>
      <c r="I73" s="20"/>
      <c r="J73" s="20"/>
      <c r="K73" s="20"/>
      <c r="L73" s="21"/>
    </row>
    <row r="74" customFormat="false" ht="15" hidden="false" customHeight="false" outlineLevel="0" collapsed="false">
      <c r="A74" s="20"/>
      <c r="B74" s="30"/>
      <c r="C74" s="20"/>
      <c r="D74" s="22"/>
      <c r="E74" s="20"/>
      <c r="F74" s="31" t="str">
        <f aca="false">IF($E74="","",IFERROR(INDEX('Food Library'!$B$6:$B$105,MATCH($E74,'Food Library'!$A$6:$A$105,0)),"?? code not in Library"))</f>
        <v/>
      </c>
      <c r="G74" s="32" t="str">
        <f aca="false">IF($E74="","",IFERROR(INDEX('Food Library'!$D$6:$D$105,MATCH($E74,'Food Library'!$A$6:$A$105,0)),""))</f>
        <v/>
      </c>
      <c r="H74" s="20"/>
      <c r="I74" s="20"/>
      <c r="J74" s="20"/>
      <c r="K74" s="20"/>
      <c r="L74" s="21"/>
    </row>
    <row r="75" customFormat="false" ht="15" hidden="false" customHeight="false" outlineLevel="0" collapsed="false">
      <c r="A75" s="20"/>
      <c r="B75" s="30"/>
      <c r="C75" s="20"/>
      <c r="D75" s="22"/>
      <c r="E75" s="20"/>
      <c r="F75" s="31" t="str">
        <f aca="false">IF($E75="","",IFERROR(INDEX('Food Library'!$B$6:$B$105,MATCH($E75,'Food Library'!$A$6:$A$105,0)),"?? code not in Library"))</f>
        <v/>
      </c>
      <c r="G75" s="32" t="str">
        <f aca="false">IF($E75="","",IFERROR(INDEX('Food Library'!$D$6:$D$105,MATCH($E75,'Food Library'!$A$6:$A$105,0)),""))</f>
        <v/>
      </c>
      <c r="H75" s="20"/>
      <c r="I75" s="20"/>
      <c r="J75" s="20"/>
      <c r="K75" s="20"/>
      <c r="L75" s="21"/>
    </row>
    <row r="76" customFormat="false" ht="15" hidden="false" customHeight="false" outlineLevel="0" collapsed="false">
      <c r="A76" s="20"/>
      <c r="B76" s="30"/>
      <c r="C76" s="20"/>
      <c r="D76" s="22"/>
      <c r="E76" s="20"/>
      <c r="F76" s="31" t="str">
        <f aca="false">IF($E76="","",IFERROR(INDEX('Food Library'!$B$6:$B$105,MATCH($E76,'Food Library'!$A$6:$A$105,0)),"?? code not in Library"))</f>
        <v/>
      </c>
      <c r="G76" s="32" t="str">
        <f aca="false">IF($E76="","",IFERROR(INDEX('Food Library'!$D$6:$D$105,MATCH($E76,'Food Library'!$A$6:$A$105,0)),""))</f>
        <v/>
      </c>
      <c r="H76" s="20"/>
      <c r="I76" s="20"/>
      <c r="J76" s="20"/>
      <c r="K76" s="20"/>
      <c r="L76" s="21"/>
    </row>
    <row r="77" customFormat="false" ht="15" hidden="false" customHeight="false" outlineLevel="0" collapsed="false">
      <c r="A77" s="20"/>
      <c r="B77" s="30"/>
      <c r="C77" s="20"/>
      <c r="D77" s="22"/>
      <c r="E77" s="20"/>
      <c r="F77" s="31" t="str">
        <f aca="false">IF($E77="","",IFERROR(INDEX('Food Library'!$B$6:$B$105,MATCH($E77,'Food Library'!$A$6:$A$105,0)),"?? code not in Library"))</f>
        <v/>
      </c>
      <c r="G77" s="32" t="str">
        <f aca="false">IF($E77="","",IFERROR(INDEX('Food Library'!$D$6:$D$105,MATCH($E77,'Food Library'!$A$6:$A$105,0)),""))</f>
        <v/>
      </c>
      <c r="H77" s="20"/>
      <c r="I77" s="20"/>
      <c r="J77" s="20"/>
      <c r="K77" s="20"/>
      <c r="L77" s="21"/>
    </row>
    <row r="78" customFormat="false" ht="15" hidden="false" customHeight="false" outlineLevel="0" collapsed="false">
      <c r="A78" s="20"/>
      <c r="B78" s="30"/>
      <c r="C78" s="20"/>
      <c r="D78" s="22"/>
      <c r="E78" s="20"/>
      <c r="F78" s="31" t="str">
        <f aca="false">IF($E78="","",IFERROR(INDEX('Food Library'!$B$6:$B$105,MATCH($E78,'Food Library'!$A$6:$A$105,0)),"?? code not in Library"))</f>
        <v/>
      </c>
      <c r="G78" s="32" t="str">
        <f aca="false">IF($E78="","",IFERROR(INDEX('Food Library'!$D$6:$D$105,MATCH($E78,'Food Library'!$A$6:$A$105,0)),""))</f>
        <v/>
      </c>
      <c r="H78" s="20"/>
      <c r="I78" s="20"/>
      <c r="J78" s="20"/>
      <c r="K78" s="20"/>
      <c r="L78" s="21"/>
    </row>
    <row r="79" customFormat="false" ht="15" hidden="false" customHeight="false" outlineLevel="0" collapsed="false">
      <c r="A79" s="20"/>
      <c r="B79" s="30"/>
      <c r="C79" s="20"/>
      <c r="D79" s="22"/>
      <c r="E79" s="20"/>
      <c r="F79" s="31" t="str">
        <f aca="false">IF($E79="","",IFERROR(INDEX('Food Library'!$B$6:$B$105,MATCH($E79,'Food Library'!$A$6:$A$105,0)),"?? code not in Library"))</f>
        <v/>
      </c>
      <c r="G79" s="32" t="str">
        <f aca="false">IF($E79="","",IFERROR(INDEX('Food Library'!$D$6:$D$105,MATCH($E79,'Food Library'!$A$6:$A$105,0)),""))</f>
        <v/>
      </c>
      <c r="H79" s="20"/>
      <c r="I79" s="20"/>
      <c r="J79" s="20"/>
      <c r="K79" s="20"/>
      <c r="L79" s="21"/>
    </row>
    <row r="80" customFormat="false" ht="15" hidden="false" customHeight="false" outlineLevel="0" collapsed="false">
      <c r="A80" s="20"/>
      <c r="B80" s="30"/>
      <c r="C80" s="20"/>
      <c r="D80" s="22"/>
      <c r="E80" s="20"/>
      <c r="F80" s="31" t="str">
        <f aca="false">IF($E80="","",IFERROR(INDEX('Food Library'!$B$6:$B$105,MATCH($E80,'Food Library'!$A$6:$A$105,0)),"?? code not in Library"))</f>
        <v/>
      </c>
      <c r="G80" s="32" t="str">
        <f aca="false">IF($E80="","",IFERROR(INDEX('Food Library'!$D$6:$D$105,MATCH($E80,'Food Library'!$A$6:$A$105,0)),""))</f>
        <v/>
      </c>
      <c r="H80" s="20"/>
      <c r="I80" s="20"/>
      <c r="J80" s="20"/>
      <c r="K80" s="20"/>
      <c r="L80" s="21"/>
    </row>
    <row r="81" customFormat="false" ht="15" hidden="false" customHeight="false" outlineLevel="0" collapsed="false">
      <c r="A81" s="20"/>
      <c r="B81" s="30"/>
      <c r="C81" s="20"/>
      <c r="D81" s="22"/>
      <c r="E81" s="20"/>
      <c r="F81" s="31" t="str">
        <f aca="false">IF($E81="","",IFERROR(INDEX('Food Library'!$B$6:$B$105,MATCH($E81,'Food Library'!$A$6:$A$105,0)),"?? code not in Library"))</f>
        <v/>
      </c>
      <c r="G81" s="32" t="str">
        <f aca="false">IF($E81="","",IFERROR(INDEX('Food Library'!$D$6:$D$105,MATCH($E81,'Food Library'!$A$6:$A$105,0)),""))</f>
        <v/>
      </c>
      <c r="H81" s="20"/>
      <c r="I81" s="20"/>
      <c r="J81" s="20"/>
      <c r="K81" s="20"/>
      <c r="L81" s="21"/>
    </row>
    <row r="82" customFormat="false" ht="15" hidden="false" customHeight="false" outlineLevel="0" collapsed="false">
      <c r="A82" s="20"/>
      <c r="B82" s="30"/>
      <c r="C82" s="20"/>
      <c r="D82" s="22"/>
      <c r="E82" s="20"/>
      <c r="F82" s="31" t="str">
        <f aca="false">IF($E82="","",IFERROR(INDEX('Food Library'!$B$6:$B$105,MATCH($E82,'Food Library'!$A$6:$A$105,0)),"?? code not in Library"))</f>
        <v/>
      </c>
      <c r="G82" s="32" t="str">
        <f aca="false">IF($E82="","",IFERROR(INDEX('Food Library'!$D$6:$D$105,MATCH($E82,'Food Library'!$A$6:$A$105,0)),""))</f>
        <v/>
      </c>
      <c r="H82" s="20"/>
      <c r="I82" s="20"/>
      <c r="J82" s="20"/>
      <c r="K82" s="20"/>
      <c r="L82" s="21"/>
    </row>
    <row r="83" customFormat="false" ht="15" hidden="false" customHeight="false" outlineLevel="0" collapsed="false">
      <c r="A83" s="20"/>
      <c r="B83" s="30"/>
      <c r="C83" s="20"/>
      <c r="D83" s="22"/>
      <c r="E83" s="20"/>
      <c r="F83" s="31" t="str">
        <f aca="false">IF($E83="","",IFERROR(INDEX('Food Library'!$B$6:$B$105,MATCH($E83,'Food Library'!$A$6:$A$105,0)),"?? code not in Library"))</f>
        <v/>
      </c>
      <c r="G83" s="32" t="str">
        <f aca="false">IF($E83="","",IFERROR(INDEX('Food Library'!$D$6:$D$105,MATCH($E83,'Food Library'!$A$6:$A$105,0)),""))</f>
        <v/>
      </c>
      <c r="H83" s="20"/>
      <c r="I83" s="20"/>
      <c r="J83" s="20"/>
      <c r="K83" s="20"/>
      <c r="L83" s="21"/>
    </row>
    <row r="84" customFormat="false" ht="15" hidden="false" customHeight="false" outlineLevel="0" collapsed="false">
      <c r="A84" s="20"/>
      <c r="B84" s="30"/>
      <c r="C84" s="20"/>
      <c r="D84" s="22"/>
      <c r="E84" s="20"/>
      <c r="F84" s="31" t="str">
        <f aca="false">IF($E84="","",IFERROR(INDEX('Food Library'!$B$6:$B$105,MATCH($E84,'Food Library'!$A$6:$A$105,0)),"?? code not in Library"))</f>
        <v/>
      </c>
      <c r="G84" s="32" t="str">
        <f aca="false">IF($E84="","",IFERROR(INDEX('Food Library'!$D$6:$D$105,MATCH($E84,'Food Library'!$A$6:$A$105,0)),""))</f>
        <v/>
      </c>
      <c r="H84" s="20"/>
      <c r="I84" s="20"/>
      <c r="J84" s="20"/>
      <c r="K84" s="20"/>
      <c r="L84" s="21"/>
    </row>
    <row r="85" customFormat="false" ht="15" hidden="false" customHeight="false" outlineLevel="0" collapsed="false">
      <c r="A85" s="20"/>
      <c r="B85" s="30"/>
      <c r="C85" s="20"/>
      <c r="D85" s="22"/>
      <c r="E85" s="20"/>
      <c r="F85" s="31" t="str">
        <f aca="false">IF($E85="","",IFERROR(INDEX('Food Library'!$B$6:$B$105,MATCH($E85,'Food Library'!$A$6:$A$105,0)),"?? code not in Library"))</f>
        <v/>
      </c>
      <c r="G85" s="32" t="str">
        <f aca="false">IF($E85="","",IFERROR(INDEX('Food Library'!$D$6:$D$105,MATCH($E85,'Food Library'!$A$6:$A$105,0)),""))</f>
        <v/>
      </c>
      <c r="H85" s="20"/>
      <c r="I85" s="20"/>
      <c r="J85" s="20"/>
      <c r="K85" s="20"/>
      <c r="L85" s="21"/>
    </row>
    <row r="86" customFormat="false" ht="15" hidden="false" customHeight="false" outlineLevel="0" collapsed="false">
      <c r="A86" s="20"/>
      <c r="B86" s="30"/>
      <c r="C86" s="20"/>
      <c r="D86" s="22"/>
      <c r="E86" s="20"/>
      <c r="F86" s="31" t="str">
        <f aca="false">IF($E86="","",IFERROR(INDEX('Food Library'!$B$6:$B$105,MATCH($E86,'Food Library'!$A$6:$A$105,0)),"?? code not in Library"))</f>
        <v/>
      </c>
      <c r="G86" s="32" t="str">
        <f aca="false">IF($E86="","",IFERROR(INDEX('Food Library'!$D$6:$D$105,MATCH($E86,'Food Library'!$A$6:$A$105,0)),""))</f>
        <v/>
      </c>
      <c r="H86" s="20"/>
      <c r="I86" s="20"/>
      <c r="J86" s="20"/>
      <c r="K86" s="20"/>
      <c r="L86" s="21"/>
    </row>
    <row r="87" customFormat="false" ht="15" hidden="false" customHeight="false" outlineLevel="0" collapsed="false">
      <c r="A87" s="20"/>
      <c r="B87" s="30"/>
      <c r="C87" s="20"/>
      <c r="D87" s="22"/>
      <c r="E87" s="20"/>
      <c r="F87" s="31" t="str">
        <f aca="false">IF($E87="","",IFERROR(INDEX('Food Library'!$B$6:$B$105,MATCH($E87,'Food Library'!$A$6:$A$105,0)),"?? code not in Library"))</f>
        <v/>
      </c>
      <c r="G87" s="32" t="str">
        <f aca="false">IF($E87="","",IFERROR(INDEX('Food Library'!$D$6:$D$105,MATCH($E87,'Food Library'!$A$6:$A$105,0)),""))</f>
        <v/>
      </c>
      <c r="H87" s="20"/>
      <c r="I87" s="20"/>
      <c r="J87" s="20"/>
      <c r="K87" s="20"/>
      <c r="L87" s="21"/>
    </row>
    <row r="88" customFormat="false" ht="15" hidden="false" customHeight="false" outlineLevel="0" collapsed="false">
      <c r="A88" s="20"/>
      <c r="B88" s="30"/>
      <c r="C88" s="20"/>
      <c r="D88" s="22"/>
      <c r="E88" s="20"/>
      <c r="F88" s="31" t="str">
        <f aca="false">IF($E88="","",IFERROR(INDEX('Food Library'!$B$6:$B$105,MATCH($E88,'Food Library'!$A$6:$A$105,0)),"?? code not in Library"))</f>
        <v/>
      </c>
      <c r="G88" s="32" t="str">
        <f aca="false">IF($E88="","",IFERROR(INDEX('Food Library'!$D$6:$D$105,MATCH($E88,'Food Library'!$A$6:$A$105,0)),""))</f>
        <v/>
      </c>
      <c r="H88" s="20"/>
      <c r="I88" s="20"/>
      <c r="J88" s="20"/>
      <c r="K88" s="20"/>
      <c r="L88" s="21"/>
    </row>
    <row r="89" customFormat="false" ht="15" hidden="false" customHeight="false" outlineLevel="0" collapsed="false">
      <c r="A89" s="20"/>
      <c r="B89" s="30"/>
      <c r="C89" s="20"/>
      <c r="D89" s="22"/>
      <c r="E89" s="20"/>
      <c r="F89" s="31" t="str">
        <f aca="false">IF($E89="","",IFERROR(INDEX('Food Library'!$B$6:$B$105,MATCH($E89,'Food Library'!$A$6:$A$105,0)),"?? code not in Library"))</f>
        <v/>
      </c>
      <c r="G89" s="32" t="str">
        <f aca="false">IF($E89="","",IFERROR(INDEX('Food Library'!$D$6:$D$105,MATCH($E89,'Food Library'!$A$6:$A$105,0)),""))</f>
        <v/>
      </c>
      <c r="H89" s="20"/>
      <c r="I89" s="20"/>
      <c r="J89" s="20"/>
      <c r="K89" s="20"/>
      <c r="L89" s="21"/>
    </row>
    <row r="90" customFormat="false" ht="15" hidden="false" customHeight="false" outlineLevel="0" collapsed="false">
      <c r="A90" s="20"/>
      <c r="B90" s="30"/>
      <c r="C90" s="20"/>
      <c r="D90" s="22"/>
      <c r="E90" s="20"/>
      <c r="F90" s="31" t="str">
        <f aca="false">IF($E90="","",IFERROR(INDEX('Food Library'!$B$6:$B$105,MATCH($E90,'Food Library'!$A$6:$A$105,0)),"?? code not in Library"))</f>
        <v/>
      </c>
      <c r="G90" s="32" t="str">
        <f aca="false">IF($E90="","",IFERROR(INDEX('Food Library'!$D$6:$D$105,MATCH($E90,'Food Library'!$A$6:$A$105,0)),""))</f>
        <v/>
      </c>
      <c r="H90" s="20"/>
      <c r="I90" s="20"/>
      <c r="J90" s="20"/>
      <c r="K90" s="20"/>
      <c r="L90" s="21"/>
    </row>
    <row r="91" customFormat="false" ht="15" hidden="false" customHeight="false" outlineLevel="0" collapsed="false">
      <c r="A91" s="20"/>
      <c r="B91" s="30"/>
      <c r="C91" s="20"/>
      <c r="D91" s="22"/>
      <c r="E91" s="20"/>
      <c r="F91" s="31" t="str">
        <f aca="false">IF($E91="","",IFERROR(INDEX('Food Library'!$B$6:$B$105,MATCH($E91,'Food Library'!$A$6:$A$105,0)),"?? code not in Library"))</f>
        <v/>
      </c>
      <c r="G91" s="32" t="str">
        <f aca="false">IF($E91="","",IFERROR(INDEX('Food Library'!$D$6:$D$105,MATCH($E91,'Food Library'!$A$6:$A$105,0)),""))</f>
        <v/>
      </c>
      <c r="H91" s="20"/>
      <c r="I91" s="20"/>
      <c r="J91" s="20"/>
      <c r="K91" s="20"/>
      <c r="L91" s="21"/>
    </row>
    <row r="92" customFormat="false" ht="15" hidden="false" customHeight="false" outlineLevel="0" collapsed="false">
      <c r="A92" s="20"/>
      <c r="B92" s="30"/>
      <c r="C92" s="20"/>
      <c r="D92" s="22"/>
      <c r="E92" s="20"/>
      <c r="F92" s="31" t="str">
        <f aca="false">IF($E92="","",IFERROR(INDEX('Food Library'!$B$6:$B$105,MATCH($E92,'Food Library'!$A$6:$A$105,0)),"?? code not in Library"))</f>
        <v/>
      </c>
      <c r="G92" s="32" t="str">
        <f aca="false">IF($E92="","",IFERROR(INDEX('Food Library'!$D$6:$D$105,MATCH($E92,'Food Library'!$A$6:$A$105,0)),""))</f>
        <v/>
      </c>
      <c r="H92" s="20"/>
      <c r="I92" s="20"/>
      <c r="J92" s="20"/>
      <c r="K92" s="20"/>
      <c r="L92" s="21"/>
    </row>
    <row r="93" customFormat="false" ht="15" hidden="false" customHeight="false" outlineLevel="0" collapsed="false">
      <c r="A93" s="20"/>
      <c r="B93" s="30"/>
      <c r="C93" s="20"/>
      <c r="D93" s="22"/>
      <c r="E93" s="20"/>
      <c r="F93" s="31" t="str">
        <f aca="false">IF($E93="","",IFERROR(INDEX('Food Library'!$B$6:$B$105,MATCH($E93,'Food Library'!$A$6:$A$105,0)),"?? code not in Library"))</f>
        <v/>
      </c>
      <c r="G93" s="32" t="str">
        <f aca="false">IF($E93="","",IFERROR(INDEX('Food Library'!$D$6:$D$105,MATCH($E93,'Food Library'!$A$6:$A$105,0)),""))</f>
        <v/>
      </c>
      <c r="H93" s="20"/>
      <c r="I93" s="20"/>
      <c r="J93" s="20"/>
      <c r="K93" s="20"/>
      <c r="L93" s="21"/>
    </row>
    <row r="94" customFormat="false" ht="15" hidden="false" customHeight="false" outlineLevel="0" collapsed="false">
      <c r="A94" s="20"/>
      <c r="B94" s="30"/>
      <c r="C94" s="20"/>
      <c r="D94" s="22"/>
      <c r="E94" s="20"/>
      <c r="F94" s="31" t="str">
        <f aca="false">IF($E94="","",IFERROR(INDEX('Food Library'!$B$6:$B$105,MATCH($E94,'Food Library'!$A$6:$A$105,0)),"?? code not in Library"))</f>
        <v/>
      </c>
      <c r="G94" s="32" t="str">
        <f aca="false">IF($E94="","",IFERROR(INDEX('Food Library'!$D$6:$D$105,MATCH($E94,'Food Library'!$A$6:$A$105,0)),""))</f>
        <v/>
      </c>
      <c r="H94" s="20"/>
      <c r="I94" s="20"/>
      <c r="J94" s="20"/>
      <c r="K94" s="20"/>
      <c r="L94" s="21"/>
    </row>
    <row r="95" customFormat="false" ht="15" hidden="false" customHeight="false" outlineLevel="0" collapsed="false">
      <c r="A95" s="20"/>
      <c r="B95" s="30"/>
      <c r="C95" s="20"/>
      <c r="D95" s="22"/>
      <c r="E95" s="20"/>
      <c r="F95" s="31" t="str">
        <f aca="false">IF($E95="","",IFERROR(INDEX('Food Library'!$B$6:$B$105,MATCH($E95,'Food Library'!$A$6:$A$105,0)),"?? code not in Library"))</f>
        <v/>
      </c>
      <c r="G95" s="32" t="str">
        <f aca="false">IF($E95="","",IFERROR(INDEX('Food Library'!$D$6:$D$105,MATCH($E95,'Food Library'!$A$6:$A$105,0)),""))</f>
        <v/>
      </c>
      <c r="H95" s="20"/>
      <c r="I95" s="20"/>
      <c r="J95" s="20"/>
      <c r="K95" s="20"/>
      <c r="L95" s="21"/>
    </row>
    <row r="96" customFormat="false" ht="15" hidden="false" customHeight="false" outlineLevel="0" collapsed="false">
      <c r="A96" s="20"/>
      <c r="B96" s="30"/>
      <c r="C96" s="20"/>
      <c r="D96" s="22"/>
      <c r="E96" s="20"/>
      <c r="F96" s="31" t="str">
        <f aca="false">IF($E96="","",IFERROR(INDEX('Food Library'!$B$6:$B$105,MATCH($E96,'Food Library'!$A$6:$A$105,0)),"?? code not in Library"))</f>
        <v/>
      </c>
      <c r="G96" s="32" t="str">
        <f aca="false">IF($E96="","",IFERROR(INDEX('Food Library'!$D$6:$D$105,MATCH($E96,'Food Library'!$A$6:$A$105,0)),""))</f>
        <v/>
      </c>
      <c r="H96" s="20"/>
      <c r="I96" s="20"/>
      <c r="J96" s="20"/>
      <c r="K96" s="20"/>
      <c r="L96" s="21"/>
    </row>
    <row r="97" customFormat="false" ht="15" hidden="false" customHeight="false" outlineLevel="0" collapsed="false">
      <c r="A97" s="20"/>
      <c r="B97" s="30"/>
      <c r="C97" s="20"/>
      <c r="D97" s="22"/>
      <c r="E97" s="20"/>
      <c r="F97" s="31" t="str">
        <f aca="false">IF($E97="","",IFERROR(INDEX('Food Library'!$B$6:$B$105,MATCH($E97,'Food Library'!$A$6:$A$105,0)),"?? code not in Library"))</f>
        <v/>
      </c>
      <c r="G97" s="32" t="str">
        <f aca="false">IF($E97="","",IFERROR(INDEX('Food Library'!$D$6:$D$105,MATCH($E97,'Food Library'!$A$6:$A$105,0)),""))</f>
        <v/>
      </c>
      <c r="H97" s="20"/>
      <c r="I97" s="20"/>
      <c r="J97" s="20"/>
      <c r="K97" s="20"/>
      <c r="L97" s="21"/>
    </row>
    <row r="98" customFormat="false" ht="15" hidden="false" customHeight="false" outlineLevel="0" collapsed="false">
      <c r="A98" s="20"/>
      <c r="B98" s="30"/>
      <c r="C98" s="20"/>
      <c r="D98" s="22"/>
      <c r="E98" s="20"/>
      <c r="F98" s="31" t="str">
        <f aca="false">IF($E98="","",IFERROR(INDEX('Food Library'!$B$6:$B$105,MATCH($E98,'Food Library'!$A$6:$A$105,0)),"?? code not in Library"))</f>
        <v/>
      </c>
      <c r="G98" s="32" t="str">
        <f aca="false">IF($E98="","",IFERROR(INDEX('Food Library'!$D$6:$D$105,MATCH($E98,'Food Library'!$A$6:$A$105,0)),""))</f>
        <v/>
      </c>
      <c r="H98" s="20"/>
      <c r="I98" s="20"/>
      <c r="J98" s="20"/>
      <c r="K98" s="20"/>
      <c r="L98" s="21"/>
    </row>
    <row r="99" customFormat="false" ht="15" hidden="false" customHeight="false" outlineLevel="0" collapsed="false">
      <c r="A99" s="20"/>
      <c r="B99" s="30"/>
      <c r="C99" s="20"/>
      <c r="D99" s="22"/>
      <c r="E99" s="20"/>
      <c r="F99" s="31" t="str">
        <f aca="false">IF($E99="","",IFERROR(INDEX('Food Library'!$B$6:$B$105,MATCH($E99,'Food Library'!$A$6:$A$105,0)),"?? code not in Library"))</f>
        <v/>
      </c>
      <c r="G99" s="32" t="str">
        <f aca="false">IF($E99="","",IFERROR(INDEX('Food Library'!$D$6:$D$105,MATCH($E99,'Food Library'!$A$6:$A$105,0)),""))</f>
        <v/>
      </c>
      <c r="H99" s="20"/>
      <c r="I99" s="20"/>
      <c r="J99" s="20"/>
      <c r="K99" s="20"/>
      <c r="L99" s="21"/>
    </row>
    <row r="100" customFormat="false" ht="15" hidden="false" customHeight="false" outlineLevel="0" collapsed="false">
      <c r="A100" s="20"/>
      <c r="B100" s="30"/>
      <c r="C100" s="20"/>
      <c r="D100" s="22"/>
      <c r="E100" s="20"/>
      <c r="F100" s="31" t="str">
        <f aca="false">IF($E100="","",IFERROR(INDEX('Food Library'!$B$6:$B$105,MATCH($E100,'Food Library'!$A$6:$A$105,0)),"?? code not in Library"))</f>
        <v/>
      </c>
      <c r="G100" s="32" t="str">
        <f aca="false">IF($E100="","",IFERROR(INDEX('Food Library'!$D$6:$D$105,MATCH($E100,'Food Library'!$A$6:$A$105,0)),""))</f>
        <v/>
      </c>
      <c r="H100" s="20"/>
      <c r="I100" s="20"/>
      <c r="J100" s="20"/>
      <c r="K100" s="20"/>
      <c r="L100" s="21"/>
    </row>
    <row r="101" customFormat="false" ht="15" hidden="false" customHeight="false" outlineLevel="0" collapsed="false">
      <c r="A101" s="20"/>
      <c r="B101" s="30"/>
      <c r="C101" s="20"/>
      <c r="D101" s="22"/>
      <c r="E101" s="20"/>
      <c r="F101" s="31" t="str">
        <f aca="false">IF($E101="","",IFERROR(INDEX('Food Library'!$B$6:$B$105,MATCH($E101,'Food Library'!$A$6:$A$105,0)),"?? code not in Library"))</f>
        <v/>
      </c>
      <c r="G101" s="32" t="str">
        <f aca="false">IF($E101="","",IFERROR(INDEX('Food Library'!$D$6:$D$105,MATCH($E101,'Food Library'!$A$6:$A$105,0)),""))</f>
        <v/>
      </c>
      <c r="H101" s="20"/>
      <c r="I101" s="20"/>
      <c r="J101" s="20"/>
      <c r="K101" s="20"/>
      <c r="L101" s="21"/>
    </row>
    <row r="102" customFormat="false" ht="15" hidden="false" customHeight="false" outlineLevel="0" collapsed="false">
      <c r="A102" s="20"/>
      <c r="B102" s="30"/>
      <c r="C102" s="20"/>
      <c r="D102" s="22"/>
      <c r="E102" s="20"/>
      <c r="F102" s="31" t="str">
        <f aca="false">IF($E102="","",IFERROR(INDEX('Food Library'!$B$6:$B$105,MATCH($E102,'Food Library'!$A$6:$A$105,0)),"?? code not in Library"))</f>
        <v/>
      </c>
      <c r="G102" s="32" t="str">
        <f aca="false">IF($E102="","",IFERROR(INDEX('Food Library'!$D$6:$D$105,MATCH($E102,'Food Library'!$A$6:$A$105,0)),""))</f>
        <v/>
      </c>
      <c r="H102" s="20"/>
      <c r="I102" s="20"/>
      <c r="J102" s="20"/>
      <c r="K102" s="20"/>
      <c r="L102" s="21"/>
    </row>
    <row r="103" customFormat="false" ht="15" hidden="false" customHeight="false" outlineLevel="0" collapsed="false">
      <c r="A103" s="20"/>
      <c r="B103" s="30"/>
      <c r="C103" s="20"/>
      <c r="D103" s="22"/>
      <c r="E103" s="20"/>
      <c r="F103" s="31" t="str">
        <f aca="false">IF($E103="","",IFERROR(INDEX('Food Library'!$B$6:$B$105,MATCH($E103,'Food Library'!$A$6:$A$105,0)),"?? code not in Library"))</f>
        <v/>
      </c>
      <c r="G103" s="32" t="str">
        <f aca="false">IF($E103="","",IFERROR(INDEX('Food Library'!$D$6:$D$105,MATCH($E103,'Food Library'!$A$6:$A$105,0)),""))</f>
        <v/>
      </c>
      <c r="H103" s="20"/>
      <c r="I103" s="20"/>
      <c r="J103" s="20"/>
      <c r="K103" s="20"/>
      <c r="L103" s="21"/>
    </row>
    <row r="104" customFormat="false" ht="15" hidden="false" customHeight="false" outlineLevel="0" collapsed="false">
      <c r="A104" s="20"/>
      <c r="B104" s="30"/>
      <c r="C104" s="20"/>
      <c r="D104" s="22"/>
      <c r="E104" s="20"/>
      <c r="F104" s="31" t="str">
        <f aca="false">IF($E104="","",IFERROR(INDEX('Food Library'!$B$6:$B$105,MATCH($E104,'Food Library'!$A$6:$A$105,0)),"?? code not in Library"))</f>
        <v/>
      </c>
      <c r="G104" s="32" t="str">
        <f aca="false">IF($E104="","",IFERROR(INDEX('Food Library'!$D$6:$D$105,MATCH($E104,'Food Library'!$A$6:$A$105,0)),""))</f>
        <v/>
      </c>
      <c r="H104" s="20"/>
      <c r="I104" s="20"/>
      <c r="J104" s="20"/>
      <c r="K104" s="20"/>
      <c r="L104" s="21"/>
    </row>
    <row r="105" customFormat="false" ht="15" hidden="false" customHeight="false" outlineLevel="0" collapsed="false">
      <c r="A105" s="20"/>
      <c r="B105" s="30"/>
      <c r="C105" s="20"/>
      <c r="D105" s="22"/>
      <c r="E105" s="20"/>
      <c r="F105" s="31" t="str">
        <f aca="false">IF($E105="","",IFERROR(INDEX('Food Library'!$B$6:$B$105,MATCH($E105,'Food Library'!$A$6:$A$105,0)),"?? code not in Library"))</f>
        <v/>
      </c>
      <c r="G105" s="32" t="str">
        <f aca="false">IF($E105="","",IFERROR(INDEX('Food Library'!$D$6:$D$105,MATCH($E105,'Food Library'!$A$6:$A$105,0)),""))</f>
        <v/>
      </c>
      <c r="H105" s="20"/>
      <c r="I105" s="20"/>
      <c r="J105" s="20"/>
      <c r="K105" s="20"/>
      <c r="L105" s="21"/>
    </row>
    <row r="106" customFormat="false" ht="15" hidden="false" customHeight="false" outlineLevel="0" collapsed="false">
      <c r="A106" s="20"/>
      <c r="B106" s="30"/>
      <c r="C106" s="20"/>
      <c r="D106" s="22"/>
      <c r="E106" s="20"/>
      <c r="F106" s="31" t="str">
        <f aca="false">IF($E106="","",IFERROR(INDEX('Food Library'!$B$6:$B$105,MATCH($E106,'Food Library'!$A$6:$A$105,0)),"?? code not in Library"))</f>
        <v/>
      </c>
      <c r="G106" s="32" t="str">
        <f aca="false">IF($E106="","",IFERROR(INDEX('Food Library'!$D$6:$D$105,MATCH($E106,'Food Library'!$A$6:$A$105,0)),""))</f>
        <v/>
      </c>
      <c r="H106" s="20"/>
      <c r="I106" s="20"/>
      <c r="J106" s="20"/>
      <c r="K106" s="20"/>
      <c r="L106" s="21"/>
    </row>
    <row r="107" customFormat="false" ht="15" hidden="false" customHeight="false" outlineLevel="0" collapsed="false">
      <c r="A107" s="20"/>
      <c r="B107" s="30"/>
      <c r="C107" s="20"/>
      <c r="D107" s="22"/>
      <c r="E107" s="20"/>
      <c r="F107" s="31" t="str">
        <f aca="false">IF($E107="","",IFERROR(INDEX('Food Library'!$B$6:$B$105,MATCH($E107,'Food Library'!$A$6:$A$105,0)),"?? code not in Library"))</f>
        <v/>
      </c>
      <c r="G107" s="32" t="str">
        <f aca="false">IF($E107="","",IFERROR(INDEX('Food Library'!$D$6:$D$105,MATCH($E107,'Food Library'!$A$6:$A$105,0)),""))</f>
        <v/>
      </c>
      <c r="H107" s="20"/>
      <c r="I107" s="20"/>
      <c r="J107" s="20"/>
      <c r="K107" s="20"/>
      <c r="L107" s="21"/>
    </row>
    <row r="108" customFormat="false" ht="15" hidden="false" customHeight="false" outlineLevel="0" collapsed="false">
      <c r="A108" s="20"/>
      <c r="B108" s="30"/>
      <c r="C108" s="20"/>
      <c r="D108" s="22"/>
      <c r="E108" s="20"/>
      <c r="F108" s="31" t="str">
        <f aca="false">IF($E108="","",IFERROR(INDEX('Food Library'!$B$6:$B$105,MATCH($E108,'Food Library'!$A$6:$A$105,0)),"?? code not in Library"))</f>
        <v/>
      </c>
      <c r="G108" s="32" t="str">
        <f aca="false">IF($E108="","",IFERROR(INDEX('Food Library'!$D$6:$D$105,MATCH($E108,'Food Library'!$A$6:$A$105,0)),""))</f>
        <v/>
      </c>
      <c r="H108" s="20"/>
      <c r="I108" s="20"/>
      <c r="J108" s="20"/>
      <c r="K108" s="20"/>
      <c r="L108" s="21"/>
    </row>
    <row r="109" customFormat="false" ht="15" hidden="false" customHeight="false" outlineLevel="0" collapsed="false">
      <c r="A109" s="20"/>
      <c r="B109" s="30"/>
      <c r="C109" s="20"/>
      <c r="D109" s="22"/>
      <c r="E109" s="20"/>
      <c r="F109" s="31" t="str">
        <f aca="false">IF($E109="","",IFERROR(INDEX('Food Library'!$B$6:$B$105,MATCH($E109,'Food Library'!$A$6:$A$105,0)),"?? code not in Library"))</f>
        <v/>
      </c>
      <c r="G109" s="32" t="str">
        <f aca="false">IF($E109="","",IFERROR(INDEX('Food Library'!$D$6:$D$105,MATCH($E109,'Food Library'!$A$6:$A$105,0)),""))</f>
        <v/>
      </c>
      <c r="H109" s="20"/>
      <c r="I109" s="20"/>
      <c r="J109" s="20"/>
      <c r="K109" s="20"/>
      <c r="L109" s="21"/>
    </row>
    <row r="110" customFormat="false" ht="15" hidden="false" customHeight="false" outlineLevel="0" collapsed="false">
      <c r="A110" s="20"/>
      <c r="B110" s="30"/>
      <c r="C110" s="20"/>
      <c r="D110" s="22"/>
      <c r="E110" s="20"/>
      <c r="F110" s="31" t="str">
        <f aca="false">IF($E110="","",IFERROR(INDEX('Food Library'!$B$6:$B$105,MATCH($E110,'Food Library'!$A$6:$A$105,0)),"?? code not in Library"))</f>
        <v/>
      </c>
      <c r="G110" s="32" t="str">
        <f aca="false">IF($E110="","",IFERROR(INDEX('Food Library'!$D$6:$D$105,MATCH($E110,'Food Library'!$A$6:$A$105,0)),""))</f>
        <v/>
      </c>
      <c r="H110" s="20"/>
      <c r="I110" s="20"/>
      <c r="J110" s="20"/>
      <c r="K110" s="20"/>
      <c r="L110" s="21"/>
    </row>
    <row r="111" customFormat="false" ht="15" hidden="false" customHeight="false" outlineLevel="0" collapsed="false">
      <c r="A111" s="20"/>
      <c r="B111" s="30"/>
      <c r="C111" s="20"/>
      <c r="D111" s="22"/>
      <c r="E111" s="20"/>
      <c r="F111" s="31" t="str">
        <f aca="false">IF($E111="","",IFERROR(INDEX('Food Library'!$B$6:$B$105,MATCH($E111,'Food Library'!$A$6:$A$105,0)),"?? code not in Library"))</f>
        <v/>
      </c>
      <c r="G111" s="32" t="str">
        <f aca="false">IF($E111="","",IFERROR(INDEX('Food Library'!$D$6:$D$105,MATCH($E111,'Food Library'!$A$6:$A$105,0)),""))</f>
        <v/>
      </c>
      <c r="H111" s="20"/>
      <c r="I111" s="20"/>
      <c r="J111" s="20"/>
      <c r="K111" s="20"/>
      <c r="L111" s="21"/>
    </row>
    <row r="112" customFormat="false" ht="15" hidden="false" customHeight="false" outlineLevel="0" collapsed="false">
      <c r="A112" s="20"/>
      <c r="B112" s="30"/>
      <c r="C112" s="20"/>
      <c r="D112" s="22"/>
      <c r="E112" s="20"/>
      <c r="F112" s="31" t="str">
        <f aca="false">IF($E112="","",IFERROR(INDEX('Food Library'!$B$6:$B$105,MATCH($E112,'Food Library'!$A$6:$A$105,0)),"?? code not in Library"))</f>
        <v/>
      </c>
      <c r="G112" s="32" t="str">
        <f aca="false">IF($E112="","",IFERROR(INDEX('Food Library'!$D$6:$D$105,MATCH($E112,'Food Library'!$A$6:$A$105,0)),""))</f>
        <v/>
      </c>
      <c r="H112" s="20"/>
      <c r="I112" s="20"/>
      <c r="J112" s="20"/>
      <c r="K112" s="20"/>
      <c r="L112" s="21"/>
    </row>
    <row r="113" customFormat="false" ht="15" hidden="false" customHeight="false" outlineLevel="0" collapsed="false">
      <c r="A113" s="20"/>
      <c r="B113" s="30"/>
      <c r="C113" s="20"/>
      <c r="D113" s="22"/>
      <c r="E113" s="20"/>
      <c r="F113" s="31" t="str">
        <f aca="false">IF($E113="","",IFERROR(INDEX('Food Library'!$B$6:$B$105,MATCH($E113,'Food Library'!$A$6:$A$105,0)),"?? code not in Library"))</f>
        <v/>
      </c>
      <c r="G113" s="32" t="str">
        <f aca="false">IF($E113="","",IFERROR(INDEX('Food Library'!$D$6:$D$105,MATCH($E113,'Food Library'!$A$6:$A$105,0)),""))</f>
        <v/>
      </c>
      <c r="H113" s="20"/>
      <c r="I113" s="20"/>
      <c r="J113" s="20"/>
      <c r="K113" s="20"/>
      <c r="L113" s="21"/>
    </row>
    <row r="114" customFormat="false" ht="15" hidden="false" customHeight="false" outlineLevel="0" collapsed="false">
      <c r="A114" s="20"/>
      <c r="B114" s="30"/>
      <c r="C114" s="20"/>
      <c r="D114" s="22"/>
      <c r="E114" s="20"/>
      <c r="F114" s="31" t="str">
        <f aca="false">IF($E114="","",IFERROR(INDEX('Food Library'!$B$6:$B$105,MATCH($E114,'Food Library'!$A$6:$A$105,0)),"?? code not in Library"))</f>
        <v/>
      </c>
      <c r="G114" s="32" t="str">
        <f aca="false">IF($E114="","",IFERROR(INDEX('Food Library'!$D$6:$D$105,MATCH($E114,'Food Library'!$A$6:$A$105,0)),""))</f>
        <v/>
      </c>
      <c r="H114" s="20"/>
      <c r="I114" s="20"/>
      <c r="J114" s="20"/>
      <c r="K114" s="20"/>
      <c r="L114" s="21"/>
    </row>
    <row r="115" customFormat="false" ht="15" hidden="false" customHeight="false" outlineLevel="0" collapsed="false">
      <c r="A115" s="20"/>
      <c r="B115" s="30"/>
      <c r="C115" s="20"/>
      <c r="D115" s="22"/>
      <c r="E115" s="20"/>
      <c r="F115" s="31" t="str">
        <f aca="false">IF($E115="","",IFERROR(INDEX('Food Library'!$B$6:$B$105,MATCH($E115,'Food Library'!$A$6:$A$105,0)),"?? code not in Library"))</f>
        <v/>
      </c>
      <c r="G115" s="32" t="str">
        <f aca="false">IF($E115="","",IFERROR(INDEX('Food Library'!$D$6:$D$105,MATCH($E115,'Food Library'!$A$6:$A$105,0)),""))</f>
        <v/>
      </c>
      <c r="H115" s="20"/>
      <c r="I115" s="20"/>
      <c r="J115" s="20"/>
      <c r="K115" s="20"/>
      <c r="L115" s="21"/>
    </row>
    <row r="116" customFormat="false" ht="15" hidden="false" customHeight="false" outlineLevel="0" collapsed="false">
      <c r="A116" s="20"/>
      <c r="B116" s="30"/>
      <c r="C116" s="20"/>
      <c r="D116" s="22"/>
      <c r="E116" s="20"/>
      <c r="F116" s="31" t="str">
        <f aca="false">IF($E116="","",IFERROR(INDEX('Food Library'!$B$6:$B$105,MATCH($E116,'Food Library'!$A$6:$A$105,0)),"?? code not in Library"))</f>
        <v/>
      </c>
      <c r="G116" s="32" t="str">
        <f aca="false">IF($E116="","",IFERROR(INDEX('Food Library'!$D$6:$D$105,MATCH($E116,'Food Library'!$A$6:$A$105,0)),""))</f>
        <v/>
      </c>
      <c r="H116" s="20"/>
      <c r="I116" s="20"/>
      <c r="J116" s="20"/>
      <c r="K116" s="20"/>
      <c r="L116" s="21"/>
    </row>
    <row r="117" customFormat="false" ht="15" hidden="false" customHeight="false" outlineLevel="0" collapsed="false">
      <c r="A117" s="20"/>
      <c r="B117" s="30"/>
      <c r="C117" s="20"/>
      <c r="D117" s="22"/>
      <c r="E117" s="20"/>
      <c r="F117" s="31" t="str">
        <f aca="false">IF($E117="","",IFERROR(INDEX('Food Library'!$B$6:$B$105,MATCH($E117,'Food Library'!$A$6:$A$105,0)),"?? code not in Library"))</f>
        <v/>
      </c>
      <c r="G117" s="32" t="str">
        <f aca="false">IF($E117="","",IFERROR(INDEX('Food Library'!$D$6:$D$105,MATCH($E117,'Food Library'!$A$6:$A$105,0)),""))</f>
        <v/>
      </c>
      <c r="H117" s="20"/>
      <c r="I117" s="20"/>
      <c r="J117" s="20"/>
      <c r="K117" s="20"/>
      <c r="L117" s="21"/>
    </row>
    <row r="118" customFormat="false" ht="15" hidden="false" customHeight="false" outlineLevel="0" collapsed="false">
      <c r="A118" s="20"/>
      <c r="B118" s="30"/>
      <c r="C118" s="20"/>
      <c r="D118" s="22"/>
      <c r="E118" s="20"/>
      <c r="F118" s="31" t="str">
        <f aca="false">IF($E118="","",IFERROR(INDEX('Food Library'!$B$6:$B$105,MATCH($E118,'Food Library'!$A$6:$A$105,0)),"?? code not in Library"))</f>
        <v/>
      </c>
      <c r="G118" s="32" t="str">
        <f aca="false">IF($E118="","",IFERROR(INDEX('Food Library'!$D$6:$D$105,MATCH($E118,'Food Library'!$A$6:$A$105,0)),""))</f>
        <v/>
      </c>
      <c r="H118" s="20"/>
      <c r="I118" s="20"/>
      <c r="J118" s="20"/>
      <c r="K118" s="20"/>
      <c r="L118" s="21"/>
    </row>
    <row r="119" customFormat="false" ht="15" hidden="false" customHeight="false" outlineLevel="0" collapsed="false">
      <c r="A119" s="20"/>
      <c r="B119" s="30"/>
      <c r="C119" s="20"/>
      <c r="D119" s="22"/>
      <c r="E119" s="20"/>
      <c r="F119" s="31" t="str">
        <f aca="false">IF($E119="","",IFERROR(INDEX('Food Library'!$B$6:$B$105,MATCH($E119,'Food Library'!$A$6:$A$105,0)),"?? code not in Library"))</f>
        <v/>
      </c>
      <c r="G119" s="32" t="str">
        <f aca="false">IF($E119="","",IFERROR(INDEX('Food Library'!$D$6:$D$105,MATCH($E119,'Food Library'!$A$6:$A$105,0)),""))</f>
        <v/>
      </c>
      <c r="H119" s="20"/>
      <c r="I119" s="20"/>
      <c r="J119" s="20"/>
      <c r="K119" s="20"/>
      <c r="L119" s="21"/>
    </row>
    <row r="120" customFormat="false" ht="15" hidden="false" customHeight="false" outlineLevel="0" collapsed="false">
      <c r="A120" s="20"/>
      <c r="B120" s="30"/>
      <c r="C120" s="20"/>
      <c r="D120" s="22"/>
      <c r="E120" s="20"/>
      <c r="F120" s="31" t="str">
        <f aca="false">IF($E120="","",IFERROR(INDEX('Food Library'!$B$6:$B$105,MATCH($E120,'Food Library'!$A$6:$A$105,0)),"?? code not in Library"))</f>
        <v/>
      </c>
      <c r="G120" s="32" t="str">
        <f aca="false">IF($E120="","",IFERROR(INDEX('Food Library'!$D$6:$D$105,MATCH($E120,'Food Library'!$A$6:$A$105,0)),""))</f>
        <v/>
      </c>
      <c r="H120" s="20"/>
      <c r="I120" s="20"/>
      <c r="J120" s="20"/>
      <c r="K120" s="20"/>
      <c r="L120" s="21"/>
    </row>
    <row r="121" customFormat="false" ht="15" hidden="false" customHeight="false" outlineLevel="0" collapsed="false">
      <c r="A121" s="20"/>
      <c r="B121" s="30"/>
      <c r="C121" s="20"/>
      <c r="D121" s="22"/>
      <c r="E121" s="20"/>
      <c r="F121" s="31" t="str">
        <f aca="false">IF($E121="","",IFERROR(INDEX('Food Library'!$B$6:$B$105,MATCH($E121,'Food Library'!$A$6:$A$105,0)),"?? code not in Library"))</f>
        <v/>
      </c>
      <c r="G121" s="32" t="str">
        <f aca="false">IF($E121="","",IFERROR(INDEX('Food Library'!$D$6:$D$105,MATCH($E121,'Food Library'!$A$6:$A$105,0)),""))</f>
        <v/>
      </c>
      <c r="H121" s="20"/>
      <c r="I121" s="20"/>
      <c r="J121" s="20"/>
      <c r="K121" s="20"/>
      <c r="L121" s="21"/>
    </row>
    <row r="122" customFormat="false" ht="15" hidden="false" customHeight="false" outlineLevel="0" collapsed="false">
      <c r="A122" s="20"/>
      <c r="B122" s="30"/>
      <c r="C122" s="20"/>
      <c r="D122" s="22"/>
      <c r="E122" s="20"/>
      <c r="F122" s="31" t="str">
        <f aca="false">IF($E122="","",IFERROR(INDEX('Food Library'!$B$6:$B$105,MATCH($E122,'Food Library'!$A$6:$A$105,0)),"?? code not in Library"))</f>
        <v/>
      </c>
      <c r="G122" s="32" t="str">
        <f aca="false">IF($E122="","",IFERROR(INDEX('Food Library'!$D$6:$D$105,MATCH($E122,'Food Library'!$A$6:$A$105,0)),""))</f>
        <v/>
      </c>
      <c r="H122" s="20"/>
      <c r="I122" s="20"/>
      <c r="J122" s="20"/>
      <c r="K122" s="20"/>
      <c r="L122" s="21"/>
    </row>
    <row r="123" customFormat="false" ht="15" hidden="false" customHeight="false" outlineLevel="0" collapsed="false">
      <c r="A123" s="20"/>
      <c r="B123" s="30"/>
      <c r="C123" s="20"/>
      <c r="D123" s="22"/>
      <c r="E123" s="20"/>
      <c r="F123" s="31" t="str">
        <f aca="false">IF($E123="","",IFERROR(INDEX('Food Library'!$B$6:$B$105,MATCH($E123,'Food Library'!$A$6:$A$105,0)),"?? code not in Library"))</f>
        <v/>
      </c>
      <c r="G123" s="32" t="str">
        <f aca="false">IF($E123="","",IFERROR(INDEX('Food Library'!$D$6:$D$105,MATCH($E123,'Food Library'!$A$6:$A$105,0)),""))</f>
        <v/>
      </c>
      <c r="H123" s="20"/>
      <c r="I123" s="20"/>
      <c r="J123" s="20"/>
      <c r="K123" s="20"/>
      <c r="L123" s="21"/>
    </row>
    <row r="124" customFormat="false" ht="15" hidden="false" customHeight="false" outlineLevel="0" collapsed="false">
      <c r="A124" s="20"/>
      <c r="B124" s="30"/>
      <c r="C124" s="20"/>
      <c r="D124" s="22"/>
      <c r="E124" s="20"/>
      <c r="F124" s="31" t="str">
        <f aca="false">IF($E124="","",IFERROR(INDEX('Food Library'!$B$6:$B$105,MATCH($E124,'Food Library'!$A$6:$A$105,0)),"?? code not in Library"))</f>
        <v/>
      </c>
      <c r="G124" s="32" t="str">
        <f aca="false">IF($E124="","",IFERROR(INDEX('Food Library'!$D$6:$D$105,MATCH($E124,'Food Library'!$A$6:$A$105,0)),""))</f>
        <v/>
      </c>
      <c r="H124" s="20"/>
      <c r="I124" s="20"/>
      <c r="J124" s="20"/>
      <c r="K124" s="20"/>
      <c r="L124" s="21"/>
    </row>
    <row r="125" customFormat="false" ht="15" hidden="false" customHeight="false" outlineLevel="0" collapsed="false">
      <c r="A125" s="20"/>
      <c r="B125" s="30"/>
      <c r="C125" s="20"/>
      <c r="D125" s="22"/>
      <c r="E125" s="20"/>
      <c r="F125" s="31" t="str">
        <f aca="false">IF($E125="","",IFERROR(INDEX('Food Library'!$B$6:$B$105,MATCH($E125,'Food Library'!$A$6:$A$105,0)),"?? code not in Library"))</f>
        <v/>
      </c>
      <c r="G125" s="32" t="str">
        <f aca="false">IF($E125="","",IFERROR(INDEX('Food Library'!$D$6:$D$105,MATCH($E125,'Food Library'!$A$6:$A$105,0)),""))</f>
        <v/>
      </c>
      <c r="H125" s="20"/>
      <c r="I125" s="20"/>
      <c r="J125" s="20"/>
      <c r="K125" s="20"/>
      <c r="L125" s="21"/>
    </row>
    <row r="126" customFormat="false" ht="15" hidden="false" customHeight="false" outlineLevel="0" collapsed="false">
      <c r="A126" s="20"/>
      <c r="B126" s="30"/>
      <c r="C126" s="20"/>
      <c r="D126" s="22"/>
      <c r="E126" s="20"/>
      <c r="F126" s="31" t="str">
        <f aca="false">IF($E126="","",IFERROR(INDEX('Food Library'!$B$6:$B$105,MATCH($E126,'Food Library'!$A$6:$A$105,0)),"?? code not in Library"))</f>
        <v/>
      </c>
      <c r="G126" s="32" t="str">
        <f aca="false">IF($E126="","",IFERROR(INDEX('Food Library'!$D$6:$D$105,MATCH($E126,'Food Library'!$A$6:$A$105,0)),""))</f>
        <v/>
      </c>
      <c r="H126" s="20"/>
      <c r="I126" s="20"/>
      <c r="J126" s="20"/>
      <c r="K126" s="20"/>
      <c r="L126" s="21"/>
    </row>
    <row r="127" customFormat="false" ht="15" hidden="false" customHeight="false" outlineLevel="0" collapsed="false">
      <c r="A127" s="20"/>
      <c r="B127" s="30"/>
      <c r="C127" s="20"/>
      <c r="D127" s="22"/>
      <c r="E127" s="20"/>
      <c r="F127" s="31" t="str">
        <f aca="false">IF($E127="","",IFERROR(INDEX('Food Library'!$B$6:$B$105,MATCH($E127,'Food Library'!$A$6:$A$105,0)),"?? code not in Library"))</f>
        <v/>
      </c>
      <c r="G127" s="32" t="str">
        <f aca="false">IF($E127="","",IFERROR(INDEX('Food Library'!$D$6:$D$105,MATCH($E127,'Food Library'!$A$6:$A$105,0)),""))</f>
        <v/>
      </c>
      <c r="H127" s="20"/>
      <c r="I127" s="20"/>
      <c r="J127" s="20"/>
      <c r="K127" s="20"/>
      <c r="L127" s="21"/>
    </row>
    <row r="128" customFormat="false" ht="15" hidden="false" customHeight="false" outlineLevel="0" collapsed="false">
      <c r="A128" s="20"/>
      <c r="B128" s="30"/>
      <c r="C128" s="20"/>
      <c r="D128" s="22"/>
      <c r="E128" s="20"/>
      <c r="F128" s="31" t="str">
        <f aca="false">IF($E128="","",IFERROR(INDEX('Food Library'!$B$6:$B$105,MATCH($E128,'Food Library'!$A$6:$A$105,0)),"?? code not in Library"))</f>
        <v/>
      </c>
      <c r="G128" s="32" t="str">
        <f aca="false">IF($E128="","",IFERROR(INDEX('Food Library'!$D$6:$D$105,MATCH($E128,'Food Library'!$A$6:$A$105,0)),""))</f>
        <v/>
      </c>
      <c r="H128" s="20"/>
      <c r="I128" s="20"/>
      <c r="J128" s="20"/>
      <c r="K128" s="20"/>
      <c r="L128" s="21"/>
    </row>
    <row r="129" customFormat="false" ht="15" hidden="false" customHeight="false" outlineLevel="0" collapsed="false">
      <c r="A129" s="20"/>
      <c r="B129" s="30"/>
      <c r="C129" s="20"/>
      <c r="D129" s="22"/>
      <c r="E129" s="20"/>
      <c r="F129" s="31" t="str">
        <f aca="false">IF($E129="","",IFERROR(INDEX('Food Library'!$B$6:$B$105,MATCH($E129,'Food Library'!$A$6:$A$105,0)),"?? code not in Library"))</f>
        <v/>
      </c>
      <c r="G129" s="32" t="str">
        <f aca="false">IF($E129="","",IFERROR(INDEX('Food Library'!$D$6:$D$105,MATCH($E129,'Food Library'!$A$6:$A$105,0)),""))</f>
        <v/>
      </c>
      <c r="H129" s="20"/>
      <c r="I129" s="20"/>
      <c r="J129" s="20"/>
      <c r="K129" s="20"/>
      <c r="L129" s="21"/>
    </row>
    <row r="130" customFormat="false" ht="15" hidden="false" customHeight="false" outlineLevel="0" collapsed="false">
      <c r="A130" s="20"/>
      <c r="B130" s="30"/>
      <c r="C130" s="20"/>
      <c r="D130" s="22"/>
      <c r="E130" s="20"/>
      <c r="F130" s="31" t="str">
        <f aca="false">IF($E130="","",IFERROR(INDEX('Food Library'!$B$6:$B$105,MATCH($E130,'Food Library'!$A$6:$A$105,0)),"?? code not in Library"))</f>
        <v/>
      </c>
      <c r="G130" s="32" t="str">
        <f aca="false">IF($E130="","",IFERROR(INDEX('Food Library'!$D$6:$D$105,MATCH($E130,'Food Library'!$A$6:$A$105,0)),""))</f>
        <v/>
      </c>
      <c r="H130" s="20"/>
      <c r="I130" s="20"/>
      <c r="J130" s="20"/>
      <c r="K130" s="20"/>
      <c r="L130" s="21"/>
    </row>
    <row r="131" customFormat="false" ht="15" hidden="false" customHeight="false" outlineLevel="0" collapsed="false">
      <c r="A131" s="20"/>
      <c r="B131" s="30"/>
      <c r="C131" s="20"/>
      <c r="D131" s="22"/>
      <c r="E131" s="20"/>
      <c r="F131" s="31" t="str">
        <f aca="false">IF($E131="","",IFERROR(INDEX('Food Library'!$B$6:$B$105,MATCH($E131,'Food Library'!$A$6:$A$105,0)),"?? code not in Library"))</f>
        <v/>
      </c>
      <c r="G131" s="32" t="str">
        <f aca="false">IF($E131="","",IFERROR(INDEX('Food Library'!$D$6:$D$105,MATCH($E131,'Food Library'!$A$6:$A$105,0)),""))</f>
        <v/>
      </c>
      <c r="H131" s="20"/>
      <c r="I131" s="20"/>
      <c r="J131" s="20"/>
      <c r="K131" s="20"/>
      <c r="L131" s="21"/>
    </row>
    <row r="132" customFormat="false" ht="15" hidden="false" customHeight="false" outlineLevel="0" collapsed="false">
      <c r="A132" s="20"/>
      <c r="B132" s="30"/>
      <c r="C132" s="20"/>
      <c r="D132" s="22"/>
      <c r="E132" s="20"/>
      <c r="F132" s="31" t="str">
        <f aca="false">IF($E132="","",IFERROR(INDEX('Food Library'!$B$6:$B$105,MATCH($E132,'Food Library'!$A$6:$A$105,0)),"?? code not in Library"))</f>
        <v/>
      </c>
      <c r="G132" s="32" t="str">
        <f aca="false">IF($E132="","",IFERROR(INDEX('Food Library'!$D$6:$D$105,MATCH($E132,'Food Library'!$A$6:$A$105,0)),""))</f>
        <v/>
      </c>
      <c r="H132" s="20"/>
      <c r="I132" s="20"/>
      <c r="J132" s="20"/>
      <c r="K132" s="20"/>
      <c r="L132" s="21"/>
    </row>
    <row r="133" customFormat="false" ht="15" hidden="false" customHeight="false" outlineLevel="0" collapsed="false">
      <c r="A133" s="20"/>
      <c r="B133" s="30"/>
      <c r="C133" s="20"/>
      <c r="D133" s="22"/>
      <c r="E133" s="20"/>
      <c r="F133" s="31" t="str">
        <f aca="false">IF($E133="","",IFERROR(INDEX('Food Library'!$B$6:$B$105,MATCH($E133,'Food Library'!$A$6:$A$105,0)),"?? code not in Library"))</f>
        <v/>
      </c>
      <c r="G133" s="32" t="str">
        <f aca="false">IF($E133="","",IFERROR(INDEX('Food Library'!$D$6:$D$105,MATCH($E133,'Food Library'!$A$6:$A$105,0)),""))</f>
        <v/>
      </c>
      <c r="H133" s="20"/>
      <c r="I133" s="20"/>
      <c r="J133" s="20"/>
      <c r="K133" s="20"/>
      <c r="L133" s="21"/>
    </row>
    <row r="134" customFormat="false" ht="15" hidden="false" customHeight="false" outlineLevel="0" collapsed="false">
      <c r="A134" s="20"/>
      <c r="B134" s="30"/>
      <c r="C134" s="20"/>
      <c r="D134" s="22"/>
      <c r="E134" s="20"/>
      <c r="F134" s="31" t="str">
        <f aca="false">IF($E134="","",IFERROR(INDEX('Food Library'!$B$6:$B$105,MATCH($E134,'Food Library'!$A$6:$A$105,0)),"?? code not in Library"))</f>
        <v/>
      </c>
      <c r="G134" s="32" t="str">
        <f aca="false">IF($E134="","",IFERROR(INDEX('Food Library'!$D$6:$D$105,MATCH($E134,'Food Library'!$A$6:$A$105,0)),""))</f>
        <v/>
      </c>
      <c r="H134" s="20"/>
      <c r="I134" s="20"/>
      <c r="J134" s="20"/>
      <c r="K134" s="20"/>
      <c r="L134" s="21"/>
    </row>
    <row r="135" customFormat="false" ht="15" hidden="false" customHeight="false" outlineLevel="0" collapsed="false">
      <c r="A135" s="20"/>
      <c r="B135" s="30"/>
      <c r="C135" s="20"/>
      <c r="D135" s="22"/>
      <c r="E135" s="20"/>
      <c r="F135" s="31" t="str">
        <f aca="false">IF($E135="","",IFERROR(INDEX('Food Library'!$B$6:$B$105,MATCH($E135,'Food Library'!$A$6:$A$105,0)),"?? code not in Library"))</f>
        <v/>
      </c>
      <c r="G135" s="32" t="str">
        <f aca="false">IF($E135="","",IFERROR(INDEX('Food Library'!$D$6:$D$105,MATCH($E135,'Food Library'!$A$6:$A$105,0)),""))</f>
        <v/>
      </c>
      <c r="H135" s="20"/>
      <c r="I135" s="20"/>
      <c r="J135" s="20"/>
      <c r="K135" s="20"/>
      <c r="L135" s="21"/>
    </row>
    <row r="136" customFormat="false" ht="15" hidden="false" customHeight="false" outlineLevel="0" collapsed="false">
      <c r="A136" s="20"/>
      <c r="B136" s="30"/>
      <c r="C136" s="20"/>
      <c r="D136" s="22"/>
      <c r="E136" s="20"/>
      <c r="F136" s="31" t="str">
        <f aca="false">IF($E136="","",IFERROR(INDEX('Food Library'!$B$6:$B$105,MATCH($E136,'Food Library'!$A$6:$A$105,0)),"?? code not in Library"))</f>
        <v/>
      </c>
      <c r="G136" s="32" t="str">
        <f aca="false">IF($E136="","",IFERROR(INDEX('Food Library'!$D$6:$D$105,MATCH($E136,'Food Library'!$A$6:$A$105,0)),""))</f>
        <v/>
      </c>
      <c r="H136" s="20"/>
      <c r="I136" s="20"/>
      <c r="J136" s="20"/>
      <c r="K136" s="20"/>
      <c r="L136" s="21"/>
    </row>
    <row r="137" customFormat="false" ht="15" hidden="false" customHeight="false" outlineLevel="0" collapsed="false">
      <c r="A137" s="20"/>
      <c r="B137" s="30"/>
      <c r="C137" s="20"/>
      <c r="D137" s="22"/>
      <c r="E137" s="20"/>
      <c r="F137" s="31" t="str">
        <f aca="false">IF($E137="","",IFERROR(INDEX('Food Library'!$B$6:$B$105,MATCH($E137,'Food Library'!$A$6:$A$105,0)),"?? code not in Library"))</f>
        <v/>
      </c>
      <c r="G137" s="32" t="str">
        <f aca="false">IF($E137="","",IFERROR(INDEX('Food Library'!$D$6:$D$105,MATCH($E137,'Food Library'!$A$6:$A$105,0)),""))</f>
        <v/>
      </c>
      <c r="H137" s="20"/>
      <c r="I137" s="20"/>
      <c r="J137" s="20"/>
      <c r="K137" s="20"/>
      <c r="L137" s="21"/>
    </row>
    <row r="138" customFormat="false" ht="15" hidden="false" customHeight="false" outlineLevel="0" collapsed="false">
      <c r="A138" s="20"/>
      <c r="B138" s="30"/>
      <c r="C138" s="20"/>
      <c r="D138" s="22"/>
      <c r="E138" s="20"/>
      <c r="F138" s="31" t="str">
        <f aca="false">IF($E138="","",IFERROR(INDEX('Food Library'!$B$6:$B$105,MATCH($E138,'Food Library'!$A$6:$A$105,0)),"?? code not in Library"))</f>
        <v/>
      </c>
      <c r="G138" s="32" t="str">
        <f aca="false">IF($E138="","",IFERROR(INDEX('Food Library'!$D$6:$D$105,MATCH($E138,'Food Library'!$A$6:$A$105,0)),""))</f>
        <v/>
      </c>
      <c r="H138" s="20"/>
      <c r="I138" s="20"/>
      <c r="J138" s="20"/>
      <c r="K138" s="20"/>
      <c r="L138" s="21"/>
    </row>
    <row r="139" customFormat="false" ht="15" hidden="false" customHeight="false" outlineLevel="0" collapsed="false">
      <c r="A139" s="20"/>
      <c r="B139" s="30"/>
      <c r="C139" s="20"/>
      <c r="D139" s="22"/>
      <c r="E139" s="20"/>
      <c r="F139" s="31" t="str">
        <f aca="false">IF($E139="","",IFERROR(INDEX('Food Library'!$B$6:$B$105,MATCH($E139,'Food Library'!$A$6:$A$105,0)),"?? code not in Library"))</f>
        <v/>
      </c>
      <c r="G139" s="32" t="str">
        <f aca="false">IF($E139="","",IFERROR(INDEX('Food Library'!$D$6:$D$105,MATCH($E139,'Food Library'!$A$6:$A$105,0)),""))</f>
        <v/>
      </c>
      <c r="H139" s="20"/>
      <c r="I139" s="20"/>
      <c r="J139" s="20"/>
      <c r="K139" s="20"/>
      <c r="L139" s="21"/>
    </row>
    <row r="140" customFormat="false" ht="15" hidden="false" customHeight="false" outlineLevel="0" collapsed="false">
      <c r="A140" s="20"/>
      <c r="B140" s="30"/>
      <c r="C140" s="20"/>
      <c r="D140" s="22"/>
      <c r="E140" s="20"/>
      <c r="F140" s="31" t="str">
        <f aca="false">IF($E140="","",IFERROR(INDEX('Food Library'!$B$6:$B$105,MATCH($E140,'Food Library'!$A$6:$A$105,0)),"?? code not in Library"))</f>
        <v/>
      </c>
      <c r="G140" s="32" t="str">
        <f aca="false">IF($E140="","",IFERROR(INDEX('Food Library'!$D$6:$D$105,MATCH($E140,'Food Library'!$A$6:$A$105,0)),""))</f>
        <v/>
      </c>
      <c r="H140" s="20"/>
      <c r="I140" s="20"/>
      <c r="J140" s="20"/>
      <c r="K140" s="20"/>
      <c r="L140" s="21"/>
    </row>
    <row r="141" customFormat="false" ht="15" hidden="false" customHeight="false" outlineLevel="0" collapsed="false">
      <c r="A141" s="20"/>
      <c r="B141" s="30"/>
      <c r="C141" s="20"/>
      <c r="D141" s="22"/>
      <c r="E141" s="20"/>
      <c r="F141" s="31" t="str">
        <f aca="false">IF($E141="","",IFERROR(INDEX('Food Library'!$B$6:$B$105,MATCH($E141,'Food Library'!$A$6:$A$105,0)),"?? code not in Library"))</f>
        <v/>
      </c>
      <c r="G141" s="32" t="str">
        <f aca="false">IF($E141="","",IFERROR(INDEX('Food Library'!$D$6:$D$105,MATCH($E141,'Food Library'!$A$6:$A$105,0)),""))</f>
        <v/>
      </c>
      <c r="H141" s="20"/>
      <c r="I141" s="20"/>
      <c r="J141" s="20"/>
      <c r="K141" s="20"/>
      <c r="L141" s="21"/>
    </row>
    <row r="142" customFormat="false" ht="15" hidden="false" customHeight="false" outlineLevel="0" collapsed="false">
      <c r="A142" s="20"/>
      <c r="B142" s="30"/>
      <c r="C142" s="20"/>
      <c r="D142" s="22"/>
      <c r="E142" s="20"/>
      <c r="F142" s="31" t="str">
        <f aca="false">IF($E142="","",IFERROR(INDEX('Food Library'!$B$6:$B$105,MATCH($E142,'Food Library'!$A$6:$A$105,0)),"?? code not in Library"))</f>
        <v/>
      </c>
      <c r="G142" s="32" t="str">
        <f aca="false">IF($E142="","",IFERROR(INDEX('Food Library'!$D$6:$D$105,MATCH($E142,'Food Library'!$A$6:$A$105,0)),""))</f>
        <v/>
      </c>
      <c r="H142" s="20"/>
      <c r="I142" s="20"/>
      <c r="J142" s="20"/>
      <c r="K142" s="20"/>
      <c r="L142" s="21"/>
    </row>
    <row r="143" customFormat="false" ht="15" hidden="false" customHeight="false" outlineLevel="0" collapsed="false">
      <c r="A143" s="20"/>
      <c r="B143" s="30"/>
      <c r="C143" s="20"/>
      <c r="D143" s="22"/>
      <c r="E143" s="20"/>
      <c r="F143" s="31" t="str">
        <f aca="false">IF($E143="","",IFERROR(INDEX('Food Library'!$B$6:$B$105,MATCH($E143,'Food Library'!$A$6:$A$105,0)),"?? code not in Library"))</f>
        <v/>
      </c>
      <c r="G143" s="32" t="str">
        <f aca="false">IF($E143="","",IFERROR(INDEX('Food Library'!$D$6:$D$105,MATCH($E143,'Food Library'!$A$6:$A$105,0)),""))</f>
        <v/>
      </c>
      <c r="H143" s="20"/>
      <c r="I143" s="20"/>
      <c r="J143" s="20"/>
      <c r="K143" s="20"/>
      <c r="L143" s="21"/>
    </row>
    <row r="144" customFormat="false" ht="15" hidden="false" customHeight="false" outlineLevel="0" collapsed="false">
      <c r="A144" s="20"/>
      <c r="B144" s="30"/>
      <c r="C144" s="20"/>
      <c r="D144" s="22"/>
      <c r="E144" s="20"/>
      <c r="F144" s="31" t="str">
        <f aca="false">IF($E144="","",IFERROR(INDEX('Food Library'!$B$6:$B$105,MATCH($E144,'Food Library'!$A$6:$A$105,0)),"?? code not in Library"))</f>
        <v/>
      </c>
      <c r="G144" s="32" t="str">
        <f aca="false">IF($E144="","",IFERROR(INDEX('Food Library'!$D$6:$D$105,MATCH($E144,'Food Library'!$A$6:$A$105,0)),""))</f>
        <v/>
      </c>
      <c r="H144" s="20"/>
      <c r="I144" s="20"/>
      <c r="J144" s="20"/>
      <c r="K144" s="20"/>
      <c r="L144" s="21"/>
    </row>
    <row r="145" customFormat="false" ht="15" hidden="false" customHeight="false" outlineLevel="0" collapsed="false">
      <c r="A145" s="20"/>
      <c r="B145" s="30"/>
      <c r="C145" s="20"/>
      <c r="D145" s="22"/>
      <c r="E145" s="20"/>
      <c r="F145" s="31" t="str">
        <f aca="false">IF($E145="","",IFERROR(INDEX('Food Library'!$B$6:$B$105,MATCH($E145,'Food Library'!$A$6:$A$105,0)),"?? code not in Library"))</f>
        <v/>
      </c>
      <c r="G145" s="32" t="str">
        <f aca="false">IF($E145="","",IFERROR(INDEX('Food Library'!$D$6:$D$105,MATCH($E145,'Food Library'!$A$6:$A$105,0)),""))</f>
        <v/>
      </c>
      <c r="H145" s="20"/>
      <c r="I145" s="20"/>
      <c r="J145" s="20"/>
      <c r="K145" s="20"/>
      <c r="L145" s="21"/>
    </row>
    <row r="146" customFormat="false" ht="15" hidden="false" customHeight="false" outlineLevel="0" collapsed="false">
      <c r="A146" s="20"/>
      <c r="B146" s="30"/>
      <c r="C146" s="20"/>
      <c r="D146" s="22"/>
      <c r="E146" s="20"/>
      <c r="F146" s="31" t="str">
        <f aca="false">IF($E146="","",IFERROR(INDEX('Food Library'!$B$6:$B$105,MATCH($E146,'Food Library'!$A$6:$A$105,0)),"?? code not in Library"))</f>
        <v/>
      </c>
      <c r="G146" s="32" t="str">
        <f aca="false">IF($E146="","",IFERROR(INDEX('Food Library'!$D$6:$D$105,MATCH($E146,'Food Library'!$A$6:$A$105,0)),""))</f>
        <v/>
      </c>
      <c r="H146" s="20"/>
      <c r="I146" s="20"/>
      <c r="J146" s="20"/>
      <c r="K146" s="20"/>
      <c r="L146" s="21"/>
    </row>
    <row r="147" customFormat="false" ht="15" hidden="false" customHeight="false" outlineLevel="0" collapsed="false">
      <c r="A147" s="20"/>
      <c r="B147" s="30"/>
      <c r="C147" s="20"/>
      <c r="D147" s="22"/>
      <c r="E147" s="20"/>
      <c r="F147" s="31" t="str">
        <f aca="false">IF($E147="","",IFERROR(INDEX('Food Library'!$B$6:$B$105,MATCH($E147,'Food Library'!$A$6:$A$105,0)),"?? code not in Library"))</f>
        <v/>
      </c>
      <c r="G147" s="32" t="str">
        <f aca="false">IF($E147="","",IFERROR(INDEX('Food Library'!$D$6:$D$105,MATCH($E147,'Food Library'!$A$6:$A$105,0)),""))</f>
        <v/>
      </c>
      <c r="H147" s="20"/>
      <c r="I147" s="20"/>
      <c r="J147" s="20"/>
      <c r="K147" s="20"/>
      <c r="L147" s="21"/>
    </row>
    <row r="148" customFormat="false" ht="15" hidden="false" customHeight="false" outlineLevel="0" collapsed="false">
      <c r="A148" s="20"/>
      <c r="B148" s="30"/>
      <c r="C148" s="20"/>
      <c r="D148" s="22"/>
      <c r="E148" s="20"/>
      <c r="F148" s="31" t="str">
        <f aca="false">IF($E148="","",IFERROR(INDEX('Food Library'!$B$6:$B$105,MATCH($E148,'Food Library'!$A$6:$A$105,0)),"?? code not in Library"))</f>
        <v/>
      </c>
      <c r="G148" s="32" t="str">
        <f aca="false">IF($E148="","",IFERROR(INDEX('Food Library'!$D$6:$D$105,MATCH($E148,'Food Library'!$A$6:$A$105,0)),""))</f>
        <v/>
      </c>
      <c r="H148" s="20"/>
      <c r="I148" s="20"/>
      <c r="J148" s="20"/>
      <c r="K148" s="20"/>
      <c r="L148" s="21"/>
    </row>
    <row r="149" customFormat="false" ht="15" hidden="false" customHeight="false" outlineLevel="0" collapsed="false">
      <c r="A149" s="20"/>
      <c r="B149" s="30"/>
      <c r="C149" s="20"/>
      <c r="D149" s="22"/>
      <c r="E149" s="20"/>
      <c r="F149" s="31" t="str">
        <f aca="false">IF($E149="","",IFERROR(INDEX('Food Library'!$B$6:$B$105,MATCH($E149,'Food Library'!$A$6:$A$105,0)),"?? code not in Library"))</f>
        <v/>
      </c>
      <c r="G149" s="32" t="str">
        <f aca="false">IF($E149="","",IFERROR(INDEX('Food Library'!$D$6:$D$105,MATCH($E149,'Food Library'!$A$6:$A$105,0)),""))</f>
        <v/>
      </c>
      <c r="H149" s="20"/>
      <c r="I149" s="20"/>
      <c r="J149" s="20"/>
      <c r="K149" s="20"/>
      <c r="L149" s="21"/>
    </row>
    <row r="150" customFormat="false" ht="15" hidden="false" customHeight="false" outlineLevel="0" collapsed="false">
      <c r="A150" s="20"/>
      <c r="B150" s="30"/>
      <c r="C150" s="20"/>
      <c r="D150" s="22"/>
      <c r="E150" s="20"/>
      <c r="F150" s="31" t="str">
        <f aca="false">IF($E150="","",IFERROR(INDEX('Food Library'!$B$6:$B$105,MATCH($E150,'Food Library'!$A$6:$A$105,0)),"?? code not in Library"))</f>
        <v/>
      </c>
      <c r="G150" s="32" t="str">
        <f aca="false">IF($E150="","",IFERROR(INDEX('Food Library'!$D$6:$D$105,MATCH($E150,'Food Library'!$A$6:$A$105,0)),""))</f>
        <v/>
      </c>
      <c r="H150" s="20"/>
      <c r="I150" s="20"/>
      <c r="J150" s="20"/>
      <c r="K150" s="20"/>
      <c r="L150" s="21"/>
    </row>
    <row r="151" customFormat="false" ht="15" hidden="false" customHeight="false" outlineLevel="0" collapsed="false">
      <c r="A151" s="20"/>
      <c r="B151" s="30"/>
      <c r="C151" s="20"/>
      <c r="D151" s="22"/>
      <c r="E151" s="20"/>
      <c r="F151" s="31" t="str">
        <f aca="false">IF($E151="","",IFERROR(INDEX('Food Library'!$B$6:$B$105,MATCH($E151,'Food Library'!$A$6:$A$105,0)),"?? code not in Library"))</f>
        <v/>
      </c>
      <c r="G151" s="32" t="str">
        <f aca="false">IF($E151="","",IFERROR(INDEX('Food Library'!$D$6:$D$105,MATCH($E151,'Food Library'!$A$6:$A$105,0)),""))</f>
        <v/>
      </c>
      <c r="H151" s="20"/>
      <c r="I151" s="20"/>
      <c r="J151" s="20"/>
      <c r="K151" s="20"/>
      <c r="L151" s="21"/>
    </row>
    <row r="152" customFormat="false" ht="15" hidden="false" customHeight="false" outlineLevel="0" collapsed="false">
      <c r="A152" s="20"/>
      <c r="B152" s="30"/>
      <c r="C152" s="20"/>
      <c r="D152" s="22"/>
      <c r="E152" s="20"/>
      <c r="F152" s="31" t="str">
        <f aca="false">IF($E152="","",IFERROR(INDEX('Food Library'!$B$6:$B$105,MATCH($E152,'Food Library'!$A$6:$A$105,0)),"?? code not in Library"))</f>
        <v/>
      </c>
      <c r="G152" s="32" t="str">
        <f aca="false">IF($E152="","",IFERROR(INDEX('Food Library'!$D$6:$D$105,MATCH($E152,'Food Library'!$A$6:$A$105,0)),""))</f>
        <v/>
      </c>
      <c r="H152" s="20"/>
      <c r="I152" s="20"/>
      <c r="J152" s="20"/>
      <c r="K152" s="20"/>
      <c r="L152" s="21"/>
    </row>
    <row r="153" customFormat="false" ht="15" hidden="false" customHeight="false" outlineLevel="0" collapsed="false">
      <c r="A153" s="20"/>
      <c r="B153" s="30"/>
      <c r="C153" s="20"/>
      <c r="D153" s="22"/>
      <c r="E153" s="20"/>
      <c r="F153" s="31" t="str">
        <f aca="false">IF($E153="","",IFERROR(INDEX('Food Library'!$B$6:$B$105,MATCH($E153,'Food Library'!$A$6:$A$105,0)),"?? code not in Library"))</f>
        <v/>
      </c>
      <c r="G153" s="32" t="str">
        <f aca="false">IF($E153="","",IFERROR(INDEX('Food Library'!$D$6:$D$105,MATCH($E153,'Food Library'!$A$6:$A$105,0)),""))</f>
        <v/>
      </c>
      <c r="H153" s="20"/>
      <c r="I153" s="20"/>
      <c r="J153" s="20"/>
      <c r="K153" s="20"/>
      <c r="L153" s="21"/>
    </row>
    <row r="154" customFormat="false" ht="15" hidden="false" customHeight="false" outlineLevel="0" collapsed="false">
      <c r="A154" s="20"/>
      <c r="B154" s="30"/>
      <c r="C154" s="20"/>
      <c r="D154" s="22"/>
      <c r="E154" s="20"/>
      <c r="F154" s="31" t="str">
        <f aca="false">IF($E154="","",IFERROR(INDEX('Food Library'!$B$6:$B$105,MATCH($E154,'Food Library'!$A$6:$A$105,0)),"?? code not in Library"))</f>
        <v/>
      </c>
      <c r="G154" s="32" t="str">
        <f aca="false">IF($E154="","",IFERROR(INDEX('Food Library'!$D$6:$D$105,MATCH($E154,'Food Library'!$A$6:$A$105,0)),""))</f>
        <v/>
      </c>
      <c r="H154" s="20"/>
      <c r="I154" s="20"/>
      <c r="J154" s="20"/>
      <c r="K154" s="20"/>
      <c r="L154" s="21"/>
    </row>
    <row r="155" customFormat="false" ht="15" hidden="false" customHeight="false" outlineLevel="0" collapsed="false">
      <c r="A155" s="20"/>
      <c r="B155" s="30"/>
      <c r="C155" s="20"/>
      <c r="D155" s="22"/>
      <c r="E155" s="20"/>
      <c r="F155" s="31" t="str">
        <f aca="false">IF($E155="","",IFERROR(INDEX('Food Library'!$B$6:$B$105,MATCH($E155,'Food Library'!$A$6:$A$105,0)),"?? code not in Library"))</f>
        <v/>
      </c>
      <c r="G155" s="32" t="str">
        <f aca="false">IF($E155="","",IFERROR(INDEX('Food Library'!$D$6:$D$105,MATCH($E155,'Food Library'!$A$6:$A$105,0)),""))</f>
        <v/>
      </c>
      <c r="H155" s="20"/>
      <c r="I155" s="20"/>
      <c r="J155" s="20"/>
      <c r="K155" s="20"/>
      <c r="L155" s="21"/>
    </row>
    <row r="156" customFormat="false" ht="15" hidden="false" customHeight="false" outlineLevel="0" collapsed="false">
      <c r="A156" s="20"/>
      <c r="B156" s="30"/>
      <c r="C156" s="20"/>
      <c r="D156" s="22"/>
      <c r="E156" s="20"/>
      <c r="F156" s="31" t="str">
        <f aca="false">IF($E156="","",IFERROR(INDEX('Food Library'!$B$6:$B$105,MATCH($E156,'Food Library'!$A$6:$A$105,0)),"?? code not in Library"))</f>
        <v/>
      </c>
      <c r="G156" s="32" t="str">
        <f aca="false">IF($E156="","",IFERROR(INDEX('Food Library'!$D$6:$D$105,MATCH($E156,'Food Library'!$A$6:$A$105,0)),""))</f>
        <v/>
      </c>
      <c r="H156" s="20"/>
      <c r="I156" s="20"/>
      <c r="J156" s="20"/>
      <c r="K156" s="20"/>
      <c r="L156" s="21"/>
    </row>
    <row r="157" customFormat="false" ht="15" hidden="false" customHeight="false" outlineLevel="0" collapsed="false">
      <c r="A157" s="20"/>
      <c r="B157" s="30"/>
      <c r="C157" s="20"/>
      <c r="D157" s="22"/>
      <c r="E157" s="20"/>
      <c r="F157" s="31" t="str">
        <f aca="false">IF($E157="","",IFERROR(INDEX('Food Library'!$B$6:$B$105,MATCH($E157,'Food Library'!$A$6:$A$105,0)),"?? code not in Library"))</f>
        <v/>
      </c>
      <c r="G157" s="32" t="str">
        <f aca="false">IF($E157="","",IFERROR(INDEX('Food Library'!$D$6:$D$105,MATCH($E157,'Food Library'!$A$6:$A$105,0)),""))</f>
        <v/>
      </c>
      <c r="H157" s="20"/>
      <c r="I157" s="20"/>
      <c r="J157" s="20"/>
      <c r="K157" s="20"/>
      <c r="L157" s="21"/>
    </row>
    <row r="158" customFormat="false" ht="15" hidden="false" customHeight="false" outlineLevel="0" collapsed="false">
      <c r="A158" s="20"/>
      <c r="B158" s="30"/>
      <c r="C158" s="20"/>
      <c r="D158" s="22"/>
      <c r="E158" s="20"/>
      <c r="F158" s="31" t="str">
        <f aca="false">IF($E158="","",IFERROR(INDEX('Food Library'!$B$6:$B$105,MATCH($E158,'Food Library'!$A$6:$A$105,0)),"?? code not in Library"))</f>
        <v/>
      </c>
      <c r="G158" s="32" t="str">
        <f aca="false">IF($E158="","",IFERROR(INDEX('Food Library'!$D$6:$D$105,MATCH($E158,'Food Library'!$A$6:$A$105,0)),""))</f>
        <v/>
      </c>
      <c r="H158" s="20"/>
      <c r="I158" s="20"/>
      <c r="J158" s="20"/>
      <c r="K158" s="20"/>
      <c r="L158" s="21"/>
    </row>
    <row r="159" customFormat="false" ht="15" hidden="false" customHeight="false" outlineLevel="0" collapsed="false">
      <c r="A159" s="20"/>
      <c r="B159" s="30"/>
      <c r="C159" s="20"/>
      <c r="D159" s="22"/>
      <c r="E159" s="20"/>
      <c r="F159" s="31" t="str">
        <f aca="false">IF($E159="","",IFERROR(INDEX('Food Library'!$B$6:$B$105,MATCH($E159,'Food Library'!$A$6:$A$105,0)),"?? code not in Library"))</f>
        <v/>
      </c>
      <c r="G159" s="32" t="str">
        <f aca="false">IF($E159="","",IFERROR(INDEX('Food Library'!$D$6:$D$105,MATCH($E159,'Food Library'!$A$6:$A$105,0)),""))</f>
        <v/>
      </c>
      <c r="H159" s="20"/>
      <c r="I159" s="20"/>
      <c r="J159" s="20"/>
      <c r="K159" s="20"/>
      <c r="L159" s="21"/>
    </row>
    <row r="160" customFormat="false" ht="15" hidden="false" customHeight="false" outlineLevel="0" collapsed="false">
      <c r="A160" s="20"/>
      <c r="B160" s="30"/>
      <c r="C160" s="20"/>
      <c r="D160" s="22"/>
      <c r="E160" s="20"/>
      <c r="F160" s="31" t="str">
        <f aca="false">IF($E160="","",IFERROR(INDEX('Food Library'!$B$6:$B$105,MATCH($E160,'Food Library'!$A$6:$A$105,0)),"?? code not in Library"))</f>
        <v/>
      </c>
      <c r="G160" s="32" t="str">
        <f aca="false">IF($E160="","",IFERROR(INDEX('Food Library'!$D$6:$D$105,MATCH($E160,'Food Library'!$A$6:$A$105,0)),""))</f>
        <v/>
      </c>
      <c r="H160" s="20"/>
      <c r="I160" s="20"/>
      <c r="J160" s="20"/>
      <c r="K160" s="20"/>
      <c r="L160" s="21"/>
    </row>
    <row r="161" customFormat="false" ht="15" hidden="false" customHeight="false" outlineLevel="0" collapsed="false">
      <c r="A161" s="20"/>
      <c r="B161" s="30"/>
      <c r="C161" s="20"/>
      <c r="D161" s="22"/>
      <c r="E161" s="20"/>
      <c r="F161" s="31" t="str">
        <f aca="false">IF($E161="","",IFERROR(INDEX('Food Library'!$B$6:$B$105,MATCH($E161,'Food Library'!$A$6:$A$105,0)),"?? code not in Library"))</f>
        <v/>
      </c>
      <c r="G161" s="32" t="str">
        <f aca="false">IF($E161="","",IFERROR(INDEX('Food Library'!$D$6:$D$105,MATCH($E161,'Food Library'!$A$6:$A$105,0)),""))</f>
        <v/>
      </c>
      <c r="H161" s="20"/>
      <c r="I161" s="20"/>
      <c r="J161" s="20"/>
      <c r="K161" s="20"/>
      <c r="L161" s="21"/>
    </row>
    <row r="162" customFormat="false" ht="15" hidden="false" customHeight="false" outlineLevel="0" collapsed="false">
      <c r="A162" s="20"/>
      <c r="B162" s="30"/>
      <c r="C162" s="20"/>
      <c r="D162" s="22"/>
      <c r="E162" s="20"/>
      <c r="F162" s="31" t="str">
        <f aca="false">IF($E162="","",IFERROR(INDEX('Food Library'!$B$6:$B$105,MATCH($E162,'Food Library'!$A$6:$A$105,0)),"?? code not in Library"))</f>
        <v/>
      </c>
      <c r="G162" s="32" t="str">
        <f aca="false">IF($E162="","",IFERROR(INDEX('Food Library'!$D$6:$D$105,MATCH($E162,'Food Library'!$A$6:$A$105,0)),""))</f>
        <v/>
      </c>
      <c r="H162" s="20"/>
      <c r="I162" s="20"/>
      <c r="J162" s="20"/>
      <c r="K162" s="20"/>
      <c r="L162" s="21"/>
    </row>
    <row r="163" customFormat="false" ht="15" hidden="false" customHeight="false" outlineLevel="0" collapsed="false">
      <c r="A163" s="20"/>
      <c r="B163" s="30"/>
      <c r="C163" s="20"/>
      <c r="D163" s="22"/>
      <c r="E163" s="20"/>
      <c r="F163" s="31" t="str">
        <f aca="false">IF($E163="","",IFERROR(INDEX('Food Library'!$B$6:$B$105,MATCH($E163,'Food Library'!$A$6:$A$105,0)),"?? code not in Library"))</f>
        <v/>
      </c>
      <c r="G163" s="32" t="str">
        <f aca="false">IF($E163="","",IFERROR(INDEX('Food Library'!$D$6:$D$105,MATCH($E163,'Food Library'!$A$6:$A$105,0)),""))</f>
        <v/>
      </c>
      <c r="H163" s="20"/>
      <c r="I163" s="20"/>
      <c r="J163" s="20"/>
      <c r="K163" s="20"/>
      <c r="L163" s="21"/>
    </row>
    <row r="164" customFormat="false" ht="15" hidden="false" customHeight="false" outlineLevel="0" collapsed="false">
      <c r="A164" s="20"/>
      <c r="B164" s="30"/>
      <c r="C164" s="20"/>
      <c r="D164" s="22"/>
      <c r="E164" s="20"/>
      <c r="F164" s="31" t="str">
        <f aca="false">IF($E164="","",IFERROR(INDEX('Food Library'!$B$6:$B$105,MATCH($E164,'Food Library'!$A$6:$A$105,0)),"?? code not in Library"))</f>
        <v/>
      </c>
      <c r="G164" s="32" t="str">
        <f aca="false">IF($E164="","",IFERROR(INDEX('Food Library'!$D$6:$D$105,MATCH($E164,'Food Library'!$A$6:$A$105,0)),""))</f>
        <v/>
      </c>
      <c r="H164" s="20"/>
      <c r="I164" s="20"/>
      <c r="J164" s="20"/>
      <c r="K164" s="20"/>
      <c r="L164" s="21"/>
    </row>
    <row r="165" customFormat="false" ht="15" hidden="false" customHeight="false" outlineLevel="0" collapsed="false">
      <c r="A165" s="20"/>
      <c r="B165" s="30"/>
      <c r="C165" s="20"/>
      <c r="D165" s="22"/>
      <c r="E165" s="20"/>
      <c r="F165" s="31" t="str">
        <f aca="false">IF($E165="","",IFERROR(INDEX('Food Library'!$B$6:$B$105,MATCH($E165,'Food Library'!$A$6:$A$105,0)),"?? code not in Library"))</f>
        <v/>
      </c>
      <c r="G165" s="32" t="str">
        <f aca="false">IF($E165="","",IFERROR(INDEX('Food Library'!$D$6:$D$105,MATCH($E165,'Food Library'!$A$6:$A$105,0)),""))</f>
        <v/>
      </c>
      <c r="H165" s="20"/>
      <c r="I165" s="20"/>
      <c r="J165" s="20"/>
      <c r="K165" s="20"/>
      <c r="L165" s="21"/>
    </row>
    <row r="166" customFormat="false" ht="15" hidden="false" customHeight="false" outlineLevel="0" collapsed="false">
      <c r="A166" s="20"/>
      <c r="B166" s="30"/>
      <c r="C166" s="20"/>
      <c r="D166" s="22"/>
      <c r="E166" s="20"/>
      <c r="F166" s="31" t="str">
        <f aca="false">IF($E166="","",IFERROR(INDEX('Food Library'!$B$6:$B$105,MATCH($E166,'Food Library'!$A$6:$A$105,0)),"?? code not in Library"))</f>
        <v/>
      </c>
      <c r="G166" s="32" t="str">
        <f aca="false">IF($E166="","",IFERROR(INDEX('Food Library'!$D$6:$D$105,MATCH($E166,'Food Library'!$A$6:$A$105,0)),""))</f>
        <v/>
      </c>
      <c r="H166" s="20"/>
      <c r="I166" s="20"/>
      <c r="J166" s="20"/>
      <c r="K166" s="20"/>
      <c r="L166" s="21"/>
    </row>
    <row r="167" customFormat="false" ht="15" hidden="false" customHeight="false" outlineLevel="0" collapsed="false">
      <c r="A167" s="20"/>
      <c r="B167" s="30"/>
      <c r="C167" s="20"/>
      <c r="D167" s="22"/>
      <c r="E167" s="20"/>
      <c r="F167" s="31" t="str">
        <f aca="false">IF($E167="","",IFERROR(INDEX('Food Library'!$B$6:$B$105,MATCH($E167,'Food Library'!$A$6:$A$105,0)),"?? code not in Library"))</f>
        <v/>
      </c>
      <c r="G167" s="32" t="str">
        <f aca="false">IF($E167="","",IFERROR(INDEX('Food Library'!$D$6:$D$105,MATCH($E167,'Food Library'!$A$6:$A$105,0)),""))</f>
        <v/>
      </c>
      <c r="H167" s="20"/>
      <c r="I167" s="20"/>
      <c r="J167" s="20"/>
      <c r="K167" s="20"/>
      <c r="L167" s="21"/>
    </row>
    <row r="168" customFormat="false" ht="15" hidden="false" customHeight="false" outlineLevel="0" collapsed="false">
      <c r="A168" s="20"/>
      <c r="B168" s="30"/>
      <c r="C168" s="20"/>
      <c r="D168" s="22"/>
      <c r="E168" s="20"/>
      <c r="F168" s="31" t="str">
        <f aca="false">IF($E168="","",IFERROR(INDEX('Food Library'!$B$6:$B$105,MATCH($E168,'Food Library'!$A$6:$A$105,0)),"?? code not in Library"))</f>
        <v/>
      </c>
      <c r="G168" s="32" t="str">
        <f aca="false">IF($E168="","",IFERROR(INDEX('Food Library'!$D$6:$D$105,MATCH($E168,'Food Library'!$A$6:$A$105,0)),""))</f>
        <v/>
      </c>
      <c r="H168" s="20"/>
      <c r="I168" s="20"/>
      <c r="J168" s="20"/>
      <c r="K168" s="20"/>
      <c r="L168" s="21"/>
    </row>
    <row r="169" customFormat="false" ht="15" hidden="false" customHeight="false" outlineLevel="0" collapsed="false">
      <c r="A169" s="20"/>
      <c r="B169" s="30"/>
      <c r="C169" s="20"/>
      <c r="D169" s="22"/>
      <c r="E169" s="20"/>
      <c r="F169" s="31" t="str">
        <f aca="false">IF($E169="","",IFERROR(INDEX('Food Library'!$B$6:$B$105,MATCH($E169,'Food Library'!$A$6:$A$105,0)),"?? code not in Library"))</f>
        <v/>
      </c>
      <c r="G169" s="32" t="str">
        <f aca="false">IF($E169="","",IFERROR(INDEX('Food Library'!$D$6:$D$105,MATCH($E169,'Food Library'!$A$6:$A$105,0)),""))</f>
        <v/>
      </c>
      <c r="H169" s="20"/>
      <c r="I169" s="20"/>
      <c r="J169" s="20"/>
      <c r="K169" s="20"/>
      <c r="L169" s="21"/>
    </row>
    <row r="170" customFormat="false" ht="15" hidden="false" customHeight="false" outlineLevel="0" collapsed="false">
      <c r="A170" s="20"/>
      <c r="B170" s="30"/>
      <c r="C170" s="20"/>
      <c r="D170" s="22"/>
      <c r="E170" s="20"/>
      <c r="F170" s="31" t="str">
        <f aca="false">IF($E170="","",IFERROR(INDEX('Food Library'!$B$6:$B$105,MATCH($E170,'Food Library'!$A$6:$A$105,0)),"?? code not in Library"))</f>
        <v/>
      </c>
      <c r="G170" s="32" t="str">
        <f aca="false">IF($E170="","",IFERROR(INDEX('Food Library'!$D$6:$D$105,MATCH($E170,'Food Library'!$A$6:$A$105,0)),""))</f>
        <v/>
      </c>
      <c r="H170" s="20"/>
      <c r="I170" s="20"/>
      <c r="J170" s="20"/>
      <c r="K170" s="20"/>
      <c r="L170" s="21"/>
    </row>
    <row r="171" customFormat="false" ht="15" hidden="false" customHeight="false" outlineLevel="0" collapsed="false">
      <c r="A171" s="20"/>
      <c r="B171" s="30"/>
      <c r="C171" s="20"/>
      <c r="D171" s="22"/>
      <c r="E171" s="20"/>
      <c r="F171" s="31" t="str">
        <f aca="false">IF($E171="","",IFERROR(INDEX('Food Library'!$B$6:$B$105,MATCH($E171,'Food Library'!$A$6:$A$105,0)),"?? code not in Library"))</f>
        <v/>
      </c>
      <c r="G171" s="32" t="str">
        <f aca="false">IF($E171="","",IFERROR(INDEX('Food Library'!$D$6:$D$105,MATCH($E171,'Food Library'!$A$6:$A$105,0)),""))</f>
        <v/>
      </c>
      <c r="H171" s="20"/>
      <c r="I171" s="20"/>
      <c r="J171" s="20"/>
      <c r="K171" s="20"/>
      <c r="L171" s="21"/>
    </row>
    <row r="172" customFormat="false" ht="15" hidden="false" customHeight="false" outlineLevel="0" collapsed="false">
      <c r="A172" s="20"/>
      <c r="B172" s="30"/>
      <c r="C172" s="20"/>
      <c r="D172" s="22"/>
      <c r="E172" s="20"/>
      <c r="F172" s="31" t="str">
        <f aca="false">IF($E172="","",IFERROR(INDEX('Food Library'!$B$6:$B$105,MATCH($E172,'Food Library'!$A$6:$A$105,0)),"?? code not in Library"))</f>
        <v/>
      </c>
      <c r="G172" s="32" t="str">
        <f aca="false">IF($E172="","",IFERROR(INDEX('Food Library'!$D$6:$D$105,MATCH($E172,'Food Library'!$A$6:$A$105,0)),""))</f>
        <v/>
      </c>
      <c r="H172" s="20"/>
      <c r="I172" s="20"/>
      <c r="J172" s="20"/>
      <c r="K172" s="20"/>
      <c r="L172" s="21"/>
    </row>
    <row r="173" customFormat="false" ht="15" hidden="false" customHeight="false" outlineLevel="0" collapsed="false">
      <c r="A173" s="20"/>
      <c r="B173" s="30"/>
      <c r="C173" s="20"/>
      <c r="D173" s="22"/>
      <c r="E173" s="20"/>
      <c r="F173" s="31" t="str">
        <f aca="false">IF($E173="","",IFERROR(INDEX('Food Library'!$B$6:$B$105,MATCH($E173,'Food Library'!$A$6:$A$105,0)),"?? code not in Library"))</f>
        <v/>
      </c>
      <c r="G173" s="32" t="str">
        <f aca="false">IF($E173="","",IFERROR(INDEX('Food Library'!$D$6:$D$105,MATCH($E173,'Food Library'!$A$6:$A$105,0)),""))</f>
        <v/>
      </c>
      <c r="H173" s="20"/>
      <c r="I173" s="20"/>
      <c r="J173" s="20"/>
      <c r="K173" s="20"/>
      <c r="L173" s="21"/>
    </row>
    <row r="174" customFormat="false" ht="15" hidden="false" customHeight="false" outlineLevel="0" collapsed="false">
      <c r="A174" s="20"/>
      <c r="B174" s="30"/>
      <c r="C174" s="20"/>
      <c r="D174" s="22"/>
      <c r="E174" s="20"/>
      <c r="F174" s="31" t="str">
        <f aca="false">IF($E174="","",IFERROR(INDEX('Food Library'!$B$6:$B$105,MATCH($E174,'Food Library'!$A$6:$A$105,0)),"?? code not in Library"))</f>
        <v/>
      </c>
      <c r="G174" s="32" t="str">
        <f aca="false">IF($E174="","",IFERROR(INDEX('Food Library'!$D$6:$D$105,MATCH($E174,'Food Library'!$A$6:$A$105,0)),""))</f>
        <v/>
      </c>
      <c r="H174" s="20"/>
      <c r="I174" s="20"/>
      <c r="J174" s="20"/>
      <c r="K174" s="20"/>
      <c r="L174" s="21"/>
    </row>
    <row r="175" customFormat="false" ht="15" hidden="false" customHeight="false" outlineLevel="0" collapsed="false">
      <c r="A175" s="20"/>
      <c r="B175" s="30"/>
      <c r="C175" s="20"/>
      <c r="D175" s="22"/>
      <c r="E175" s="20"/>
      <c r="F175" s="31" t="str">
        <f aca="false">IF($E175="","",IFERROR(INDEX('Food Library'!$B$6:$B$105,MATCH($E175,'Food Library'!$A$6:$A$105,0)),"?? code not in Library"))</f>
        <v/>
      </c>
      <c r="G175" s="32" t="str">
        <f aca="false">IF($E175="","",IFERROR(INDEX('Food Library'!$D$6:$D$105,MATCH($E175,'Food Library'!$A$6:$A$105,0)),""))</f>
        <v/>
      </c>
      <c r="H175" s="20"/>
      <c r="I175" s="20"/>
      <c r="J175" s="20"/>
      <c r="K175" s="20"/>
      <c r="L175" s="21"/>
    </row>
    <row r="176" customFormat="false" ht="15" hidden="false" customHeight="false" outlineLevel="0" collapsed="false">
      <c r="A176" s="20"/>
      <c r="B176" s="30"/>
      <c r="C176" s="20"/>
      <c r="D176" s="22"/>
      <c r="E176" s="20"/>
      <c r="F176" s="31" t="str">
        <f aca="false">IF($E176="","",IFERROR(INDEX('Food Library'!$B$6:$B$105,MATCH($E176,'Food Library'!$A$6:$A$105,0)),"?? code not in Library"))</f>
        <v/>
      </c>
      <c r="G176" s="32" t="str">
        <f aca="false">IF($E176="","",IFERROR(INDEX('Food Library'!$D$6:$D$105,MATCH($E176,'Food Library'!$A$6:$A$105,0)),""))</f>
        <v/>
      </c>
      <c r="H176" s="20"/>
      <c r="I176" s="20"/>
      <c r="J176" s="20"/>
      <c r="K176" s="20"/>
      <c r="L176" s="21"/>
    </row>
    <row r="177" customFormat="false" ht="15" hidden="false" customHeight="false" outlineLevel="0" collapsed="false">
      <c r="A177" s="20"/>
      <c r="B177" s="30"/>
      <c r="C177" s="20"/>
      <c r="D177" s="22"/>
      <c r="E177" s="20"/>
      <c r="F177" s="31" t="str">
        <f aca="false">IF($E177="","",IFERROR(INDEX('Food Library'!$B$6:$B$105,MATCH($E177,'Food Library'!$A$6:$A$105,0)),"?? code not in Library"))</f>
        <v/>
      </c>
      <c r="G177" s="32" t="str">
        <f aca="false">IF($E177="","",IFERROR(INDEX('Food Library'!$D$6:$D$105,MATCH($E177,'Food Library'!$A$6:$A$105,0)),""))</f>
        <v/>
      </c>
      <c r="H177" s="20"/>
      <c r="I177" s="20"/>
      <c r="J177" s="20"/>
      <c r="K177" s="20"/>
      <c r="L177" s="21"/>
    </row>
    <row r="178" customFormat="false" ht="15" hidden="false" customHeight="false" outlineLevel="0" collapsed="false">
      <c r="A178" s="20"/>
      <c r="B178" s="30"/>
      <c r="C178" s="20"/>
      <c r="D178" s="22"/>
      <c r="E178" s="20"/>
      <c r="F178" s="31" t="str">
        <f aca="false">IF($E178="","",IFERROR(INDEX('Food Library'!$B$6:$B$105,MATCH($E178,'Food Library'!$A$6:$A$105,0)),"?? code not in Library"))</f>
        <v/>
      </c>
      <c r="G178" s="32" t="str">
        <f aca="false">IF($E178="","",IFERROR(INDEX('Food Library'!$D$6:$D$105,MATCH($E178,'Food Library'!$A$6:$A$105,0)),""))</f>
        <v/>
      </c>
      <c r="H178" s="20"/>
      <c r="I178" s="20"/>
      <c r="J178" s="20"/>
      <c r="K178" s="20"/>
      <c r="L178" s="21"/>
    </row>
    <row r="179" customFormat="false" ht="15" hidden="false" customHeight="false" outlineLevel="0" collapsed="false">
      <c r="A179" s="20"/>
      <c r="B179" s="30"/>
      <c r="C179" s="20"/>
      <c r="D179" s="22"/>
      <c r="E179" s="20"/>
      <c r="F179" s="31" t="str">
        <f aca="false">IF($E179="","",IFERROR(INDEX('Food Library'!$B$6:$B$105,MATCH($E179,'Food Library'!$A$6:$A$105,0)),"?? code not in Library"))</f>
        <v/>
      </c>
      <c r="G179" s="32" t="str">
        <f aca="false">IF($E179="","",IFERROR(INDEX('Food Library'!$D$6:$D$105,MATCH($E179,'Food Library'!$A$6:$A$105,0)),""))</f>
        <v/>
      </c>
      <c r="H179" s="20"/>
      <c r="I179" s="20"/>
      <c r="J179" s="20"/>
      <c r="K179" s="20"/>
      <c r="L179" s="21"/>
    </row>
    <row r="180" customFormat="false" ht="15" hidden="false" customHeight="false" outlineLevel="0" collapsed="false">
      <c r="A180" s="20"/>
      <c r="B180" s="30"/>
      <c r="C180" s="20"/>
      <c r="D180" s="22"/>
      <c r="E180" s="20"/>
      <c r="F180" s="31" t="str">
        <f aca="false">IF($E180="","",IFERROR(INDEX('Food Library'!$B$6:$B$105,MATCH($E180,'Food Library'!$A$6:$A$105,0)),"?? code not in Library"))</f>
        <v/>
      </c>
      <c r="G180" s="32" t="str">
        <f aca="false">IF($E180="","",IFERROR(INDEX('Food Library'!$D$6:$D$105,MATCH($E180,'Food Library'!$A$6:$A$105,0)),""))</f>
        <v/>
      </c>
      <c r="H180" s="20"/>
      <c r="I180" s="20"/>
      <c r="J180" s="20"/>
      <c r="K180" s="20"/>
      <c r="L180" s="21"/>
    </row>
    <row r="181" customFormat="false" ht="15" hidden="false" customHeight="false" outlineLevel="0" collapsed="false">
      <c r="A181" s="20"/>
      <c r="B181" s="30"/>
      <c r="C181" s="20"/>
      <c r="D181" s="22"/>
      <c r="E181" s="20"/>
      <c r="F181" s="31" t="str">
        <f aca="false">IF($E181="","",IFERROR(INDEX('Food Library'!$B$6:$B$105,MATCH($E181,'Food Library'!$A$6:$A$105,0)),"?? code not in Library"))</f>
        <v/>
      </c>
      <c r="G181" s="32" t="str">
        <f aca="false">IF($E181="","",IFERROR(INDEX('Food Library'!$D$6:$D$105,MATCH($E181,'Food Library'!$A$6:$A$105,0)),""))</f>
        <v/>
      </c>
      <c r="H181" s="20"/>
      <c r="I181" s="20"/>
      <c r="J181" s="20"/>
      <c r="K181" s="20"/>
      <c r="L181" s="21"/>
    </row>
    <row r="182" customFormat="false" ht="15" hidden="false" customHeight="false" outlineLevel="0" collapsed="false">
      <c r="A182" s="20"/>
      <c r="B182" s="30"/>
      <c r="C182" s="20"/>
      <c r="D182" s="22"/>
      <c r="E182" s="20"/>
      <c r="F182" s="31" t="str">
        <f aca="false">IF($E182="","",IFERROR(INDEX('Food Library'!$B$6:$B$105,MATCH($E182,'Food Library'!$A$6:$A$105,0)),"?? code not in Library"))</f>
        <v/>
      </c>
      <c r="G182" s="32" t="str">
        <f aca="false">IF($E182="","",IFERROR(INDEX('Food Library'!$D$6:$D$105,MATCH($E182,'Food Library'!$A$6:$A$105,0)),""))</f>
        <v/>
      </c>
      <c r="H182" s="20"/>
      <c r="I182" s="20"/>
      <c r="J182" s="20"/>
      <c r="K182" s="20"/>
      <c r="L182" s="21"/>
    </row>
    <row r="183" customFormat="false" ht="15" hidden="false" customHeight="false" outlineLevel="0" collapsed="false">
      <c r="A183" s="20"/>
      <c r="B183" s="30"/>
      <c r="C183" s="20"/>
      <c r="D183" s="22"/>
      <c r="E183" s="20"/>
      <c r="F183" s="31" t="str">
        <f aca="false">IF($E183="","",IFERROR(INDEX('Food Library'!$B$6:$B$105,MATCH($E183,'Food Library'!$A$6:$A$105,0)),"?? code not in Library"))</f>
        <v/>
      </c>
      <c r="G183" s="32" t="str">
        <f aca="false">IF($E183="","",IFERROR(INDEX('Food Library'!$D$6:$D$105,MATCH($E183,'Food Library'!$A$6:$A$105,0)),""))</f>
        <v/>
      </c>
      <c r="H183" s="20"/>
      <c r="I183" s="20"/>
      <c r="J183" s="20"/>
      <c r="K183" s="20"/>
      <c r="L183" s="21"/>
    </row>
    <row r="184" customFormat="false" ht="15" hidden="false" customHeight="false" outlineLevel="0" collapsed="false">
      <c r="A184" s="20"/>
      <c r="B184" s="30"/>
      <c r="C184" s="20"/>
      <c r="D184" s="22"/>
      <c r="E184" s="20"/>
      <c r="F184" s="31" t="str">
        <f aca="false">IF($E184="","",IFERROR(INDEX('Food Library'!$B$6:$B$105,MATCH($E184,'Food Library'!$A$6:$A$105,0)),"?? code not in Library"))</f>
        <v/>
      </c>
      <c r="G184" s="32" t="str">
        <f aca="false">IF($E184="","",IFERROR(INDEX('Food Library'!$D$6:$D$105,MATCH($E184,'Food Library'!$A$6:$A$105,0)),""))</f>
        <v/>
      </c>
      <c r="H184" s="20"/>
      <c r="I184" s="20"/>
      <c r="J184" s="20"/>
      <c r="K184" s="20"/>
      <c r="L184" s="21"/>
    </row>
    <row r="185" customFormat="false" ht="15" hidden="false" customHeight="false" outlineLevel="0" collapsed="false">
      <c r="A185" s="20"/>
      <c r="B185" s="30"/>
      <c r="C185" s="20"/>
      <c r="D185" s="22"/>
      <c r="E185" s="20"/>
      <c r="F185" s="31" t="str">
        <f aca="false">IF($E185="","",IFERROR(INDEX('Food Library'!$B$6:$B$105,MATCH($E185,'Food Library'!$A$6:$A$105,0)),"?? code not in Library"))</f>
        <v/>
      </c>
      <c r="G185" s="32" t="str">
        <f aca="false">IF($E185="","",IFERROR(INDEX('Food Library'!$D$6:$D$105,MATCH($E185,'Food Library'!$A$6:$A$105,0)),""))</f>
        <v/>
      </c>
      <c r="H185" s="20"/>
      <c r="I185" s="20"/>
      <c r="J185" s="20"/>
      <c r="K185" s="20"/>
      <c r="L185" s="21"/>
    </row>
    <row r="186" customFormat="false" ht="15" hidden="false" customHeight="false" outlineLevel="0" collapsed="false">
      <c r="A186" s="20"/>
      <c r="B186" s="30"/>
      <c r="C186" s="20"/>
      <c r="D186" s="22"/>
      <c r="E186" s="20"/>
      <c r="F186" s="31" t="str">
        <f aca="false">IF($E186="","",IFERROR(INDEX('Food Library'!$B$6:$B$105,MATCH($E186,'Food Library'!$A$6:$A$105,0)),"?? code not in Library"))</f>
        <v/>
      </c>
      <c r="G186" s="32" t="str">
        <f aca="false">IF($E186="","",IFERROR(INDEX('Food Library'!$D$6:$D$105,MATCH($E186,'Food Library'!$A$6:$A$105,0)),""))</f>
        <v/>
      </c>
      <c r="H186" s="20"/>
      <c r="I186" s="20"/>
      <c r="J186" s="20"/>
      <c r="K186" s="20"/>
      <c r="L186" s="21"/>
    </row>
    <row r="187" customFormat="false" ht="15" hidden="false" customHeight="false" outlineLevel="0" collapsed="false">
      <c r="A187" s="20"/>
      <c r="B187" s="30"/>
      <c r="C187" s="20"/>
      <c r="D187" s="22"/>
      <c r="E187" s="20"/>
      <c r="F187" s="31" t="str">
        <f aca="false">IF($E187="","",IFERROR(INDEX('Food Library'!$B$6:$B$105,MATCH($E187,'Food Library'!$A$6:$A$105,0)),"?? code not in Library"))</f>
        <v/>
      </c>
      <c r="G187" s="32" t="str">
        <f aca="false">IF($E187="","",IFERROR(INDEX('Food Library'!$D$6:$D$105,MATCH($E187,'Food Library'!$A$6:$A$105,0)),""))</f>
        <v/>
      </c>
      <c r="H187" s="20"/>
      <c r="I187" s="20"/>
      <c r="J187" s="20"/>
      <c r="K187" s="20"/>
      <c r="L187" s="21"/>
    </row>
    <row r="188" customFormat="false" ht="15" hidden="false" customHeight="false" outlineLevel="0" collapsed="false">
      <c r="A188" s="20"/>
      <c r="B188" s="30"/>
      <c r="C188" s="20"/>
      <c r="D188" s="22"/>
      <c r="E188" s="20"/>
      <c r="F188" s="31" t="str">
        <f aca="false">IF($E188="","",IFERROR(INDEX('Food Library'!$B$6:$B$105,MATCH($E188,'Food Library'!$A$6:$A$105,0)),"?? code not in Library"))</f>
        <v/>
      </c>
      <c r="G188" s="32" t="str">
        <f aca="false">IF($E188="","",IFERROR(INDEX('Food Library'!$D$6:$D$105,MATCH($E188,'Food Library'!$A$6:$A$105,0)),""))</f>
        <v/>
      </c>
      <c r="H188" s="20"/>
      <c r="I188" s="20"/>
      <c r="J188" s="20"/>
      <c r="K188" s="20"/>
      <c r="L188" s="21"/>
    </row>
    <row r="189" customFormat="false" ht="15" hidden="false" customHeight="false" outlineLevel="0" collapsed="false">
      <c r="A189" s="20"/>
      <c r="B189" s="30"/>
      <c r="C189" s="20"/>
      <c r="D189" s="22"/>
      <c r="E189" s="20"/>
      <c r="F189" s="31" t="str">
        <f aca="false">IF($E189="","",IFERROR(INDEX('Food Library'!$B$6:$B$105,MATCH($E189,'Food Library'!$A$6:$A$105,0)),"?? code not in Library"))</f>
        <v/>
      </c>
      <c r="G189" s="32" t="str">
        <f aca="false">IF($E189="","",IFERROR(INDEX('Food Library'!$D$6:$D$105,MATCH($E189,'Food Library'!$A$6:$A$105,0)),""))</f>
        <v/>
      </c>
      <c r="H189" s="20"/>
      <c r="I189" s="20"/>
      <c r="J189" s="20"/>
      <c r="K189" s="20"/>
      <c r="L189" s="21"/>
    </row>
    <row r="190" customFormat="false" ht="15" hidden="false" customHeight="false" outlineLevel="0" collapsed="false">
      <c r="A190" s="20"/>
      <c r="B190" s="30"/>
      <c r="C190" s="20"/>
      <c r="D190" s="22"/>
      <c r="E190" s="20"/>
      <c r="F190" s="31" t="str">
        <f aca="false">IF($E190="","",IFERROR(INDEX('Food Library'!$B$6:$B$105,MATCH($E190,'Food Library'!$A$6:$A$105,0)),"?? code not in Library"))</f>
        <v/>
      </c>
      <c r="G190" s="32" t="str">
        <f aca="false">IF($E190="","",IFERROR(INDEX('Food Library'!$D$6:$D$105,MATCH($E190,'Food Library'!$A$6:$A$105,0)),""))</f>
        <v/>
      </c>
      <c r="H190" s="20"/>
      <c r="I190" s="20"/>
      <c r="J190" s="20"/>
      <c r="K190" s="20"/>
      <c r="L190" s="21"/>
    </row>
    <row r="191" customFormat="false" ht="15" hidden="false" customHeight="false" outlineLevel="0" collapsed="false">
      <c r="A191" s="20"/>
      <c r="B191" s="30"/>
      <c r="C191" s="20"/>
      <c r="D191" s="22"/>
      <c r="E191" s="20"/>
      <c r="F191" s="31" t="str">
        <f aca="false">IF($E191="","",IFERROR(INDEX('Food Library'!$B$6:$B$105,MATCH($E191,'Food Library'!$A$6:$A$105,0)),"?? code not in Library"))</f>
        <v/>
      </c>
      <c r="G191" s="32" t="str">
        <f aca="false">IF($E191="","",IFERROR(INDEX('Food Library'!$D$6:$D$105,MATCH($E191,'Food Library'!$A$6:$A$105,0)),""))</f>
        <v/>
      </c>
      <c r="H191" s="20"/>
      <c r="I191" s="20"/>
      <c r="J191" s="20"/>
      <c r="K191" s="20"/>
      <c r="L191" s="21"/>
    </row>
    <row r="192" customFormat="false" ht="15" hidden="false" customHeight="false" outlineLevel="0" collapsed="false">
      <c r="A192" s="20"/>
      <c r="B192" s="30"/>
      <c r="C192" s="20"/>
      <c r="D192" s="22"/>
      <c r="E192" s="20"/>
      <c r="F192" s="31" t="str">
        <f aca="false">IF($E192="","",IFERROR(INDEX('Food Library'!$B$6:$B$105,MATCH($E192,'Food Library'!$A$6:$A$105,0)),"?? code not in Library"))</f>
        <v/>
      </c>
      <c r="G192" s="32" t="str">
        <f aca="false">IF($E192="","",IFERROR(INDEX('Food Library'!$D$6:$D$105,MATCH($E192,'Food Library'!$A$6:$A$105,0)),""))</f>
        <v/>
      </c>
      <c r="H192" s="20"/>
      <c r="I192" s="20"/>
      <c r="J192" s="20"/>
      <c r="K192" s="20"/>
      <c r="L192" s="21"/>
    </row>
    <row r="193" customFormat="false" ht="15" hidden="false" customHeight="false" outlineLevel="0" collapsed="false">
      <c r="A193" s="20"/>
      <c r="B193" s="30"/>
      <c r="C193" s="20"/>
      <c r="D193" s="22"/>
      <c r="E193" s="20"/>
      <c r="F193" s="31" t="str">
        <f aca="false">IF($E193="","",IFERROR(INDEX('Food Library'!$B$6:$B$105,MATCH($E193,'Food Library'!$A$6:$A$105,0)),"?? code not in Library"))</f>
        <v/>
      </c>
      <c r="G193" s="32" t="str">
        <f aca="false">IF($E193="","",IFERROR(INDEX('Food Library'!$D$6:$D$105,MATCH($E193,'Food Library'!$A$6:$A$105,0)),""))</f>
        <v/>
      </c>
      <c r="H193" s="20"/>
      <c r="I193" s="20"/>
      <c r="J193" s="20"/>
      <c r="K193" s="20"/>
      <c r="L193" s="21"/>
    </row>
    <row r="194" customFormat="false" ht="15" hidden="false" customHeight="false" outlineLevel="0" collapsed="false">
      <c r="A194" s="20"/>
      <c r="B194" s="30"/>
      <c r="C194" s="20"/>
      <c r="D194" s="22"/>
      <c r="E194" s="20"/>
      <c r="F194" s="31" t="str">
        <f aca="false">IF($E194="","",IFERROR(INDEX('Food Library'!$B$6:$B$105,MATCH($E194,'Food Library'!$A$6:$A$105,0)),"?? code not in Library"))</f>
        <v/>
      </c>
      <c r="G194" s="32" t="str">
        <f aca="false">IF($E194="","",IFERROR(INDEX('Food Library'!$D$6:$D$105,MATCH($E194,'Food Library'!$A$6:$A$105,0)),""))</f>
        <v/>
      </c>
      <c r="H194" s="20"/>
      <c r="I194" s="20"/>
      <c r="J194" s="20"/>
      <c r="K194" s="20"/>
      <c r="L194" s="21"/>
    </row>
    <row r="195" customFormat="false" ht="15" hidden="false" customHeight="false" outlineLevel="0" collapsed="false">
      <c r="A195" s="20"/>
      <c r="B195" s="30"/>
      <c r="C195" s="20"/>
      <c r="D195" s="22"/>
      <c r="E195" s="20"/>
      <c r="F195" s="31" t="str">
        <f aca="false">IF($E195="","",IFERROR(INDEX('Food Library'!$B$6:$B$105,MATCH($E195,'Food Library'!$A$6:$A$105,0)),"?? code not in Library"))</f>
        <v/>
      </c>
      <c r="G195" s="32" t="str">
        <f aca="false">IF($E195="","",IFERROR(INDEX('Food Library'!$D$6:$D$105,MATCH($E195,'Food Library'!$A$6:$A$105,0)),""))</f>
        <v/>
      </c>
      <c r="H195" s="20"/>
      <c r="I195" s="20"/>
      <c r="J195" s="20"/>
      <c r="K195" s="20"/>
      <c r="L195" s="21"/>
    </row>
    <row r="196" customFormat="false" ht="15" hidden="false" customHeight="false" outlineLevel="0" collapsed="false">
      <c r="A196" s="20"/>
      <c r="B196" s="30"/>
      <c r="C196" s="20"/>
      <c r="D196" s="22"/>
      <c r="E196" s="20"/>
      <c r="F196" s="31" t="str">
        <f aca="false">IF($E196="","",IFERROR(INDEX('Food Library'!$B$6:$B$105,MATCH($E196,'Food Library'!$A$6:$A$105,0)),"?? code not in Library"))</f>
        <v/>
      </c>
      <c r="G196" s="32" t="str">
        <f aca="false">IF($E196="","",IFERROR(INDEX('Food Library'!$D$6:$D$105,MATCH($E196,'Food Library'!$A$6:$A$105,0)),""))</f>
        <v/>
      </c>
      <c r="H196" s="20"/>
      <c r="I196" s="20"/>
      <c r="J196" s="20"/>
      <c r="K196" s="20"/>
      <c r="L196" s="21"/>
    </row>
    <row r="197" customFormat="false" ht="15" hidden="false" customHeight="false" outlineLevel="0" collapsed="false">
      <c r="A197" s="20"/>
      <c r="B197" s="30"/>
      <c r="C197" s="20"/>
      <c r="D197" s="22"/>
      <c r="E197" s="20"/>
      <c r="F197" s="31" t="str">
        <f aca="false">IF($E197="","",IFERROR(INDEX('Food Library'!$B$6:$B$105,MATCH($E197,'Food Library'!$A$6:$A$105,0)),"?? code not in Library"))</f>
        <v/>
      </c>
      <c r="G197" s="32" t="str">
        <f aca="false">IF($E197="","",IFERROR(INDEX('Food Library'!$D$6:$D$105,MATCH($E197,'Food Library'!$A$6:$A$105,0)),""))</f>
        <v/>
      </c>
      <c r="H197" s="20"/>
      <c r="I197" s="20"/>
      <c r="J197" s="20"/>
      <c r="K197" s="20"/>
      <c r="L197" s="21"/>
    </row>
    <row r="198" customFormat="false" ht="15" hidden="false" customHeight="false" outlineLevel="0" collapsed="false">
      <c r="A198" s="20"/>
      <c r="B198" s="30"/>
      <c r="C198" s="20"/>
      <c r="D198" s="22"/>
      <c r="E198" s="20"/>
      <c r="F198" s="31" t="str">
        <f aca="false">IF($E198="","",IFERROR(INDEX('Food Library'!$B$6:$B$105,MATCH($E198,'Food Library'!$A$6:$A$105,0)),"?? code not in Library"))</f>
        <v/>
      </c>
      <c r="G198" s="32" t="str">
        <f aca="false">IF($E198="","",IFERROR(INDEX('Food Library'!$D$6:$D$105,MATCH($E198,'Food Library'!$A$6:$A$105,0)),""))</f>
        <v/>
      </c>
      <c r="H198" s="20"/>
      <c r="I198" s="20"/>
      <c r="J198" s="20"/>
      <c r="K198" s="20"/>
      <c r="L198" s="21"/>
    </row>
    <row r="199" customFormat="false" ht="15" hidden="false" customHeight="false" outlineLevel="0" collapsed="false">
      <c r="A199" s="20"/>
      <c r="B199" s="30"/>
      <c r="C199" s="20"/>
      <c r="D199" s="22"/>
      <c r="E199" s="20"/>
      <c r="F199" s="31" t="str">
        <f aca="false">IF($E199="","",IFERROR(INDEX('Food Library'!$B$6:$B$105,MATCH($E199,'Food Library'!$A$6:$A$105,0)),"?? code not in Library"))</f>
        <v/>
      </c>
      <c r="G199" s="32" t="str">
        <f aca="false">IF($E199="","",IFERROR(INDEX('Food Library'!$D$6:$D$105,MATCH($E199,'Food Library'!$A$6:$A$105,0)),""))</f>
        <v/>
      </c>
      <c r="H199" s="20"/>
      <c r="I199" s="20"/>
      <c r="J199" s="20"/>
      <c r="K199" s="20"/>
      <c r="L199" s="21"/>
    </row>
    <row r="200" customFormat="false" ht="15" hidden="false" customHeight="false" outlineLevel="0" collapsed="false">
      <c r="A200" s="20"/>
      <c r="B200" s="30"/>
      <c r="C200" s="20"/>
      <c r="D200" s="22"/>
      <c r="E200" s="20"/>
      <c r="F200" s="31" t="str">
        <f aca="false">IF($E200="","",IFERROR(INDEX('Food Library'!$B$6:$B$105,MATCH($E200,'Food Library'!$A$6:$A$105,0)),"?? code not in Library"))</f>
        <v/>
      </c>
      <c r="G200" s="32" t="str">
        <f aca="false">IF($E200="","",IFERROR(INDEX('Food Library'!$D$6:$D$105,MATCH($E200,'Food Library'!$A$6:$A$105,0)),""))</f>
        <v/>
      </c>
      <c r="H200" s="20"/>
      <c r="I200" s="20"/>
      <c r="J200" s="20"/>
      <c r="K200" s="20"/>
      <c r="L200" s="21"/>
    </row>
    <row r="201" customFormat="false" ht="15" hidden="false" customHeight="false" outlineLevel="0" collapsed="false">
      <c r="A201" s="20"/>
      <c r="B201" s="30"/>
      <c r="C201" s="20"/>
      <c r="D201" s="22"/>
      <c r="E201" s="20"/>
      <c r="F201" s="31" t="str">
        <f aca="false">IF($E201="","",IFERROR(INDEX('Food Library'!$B$6:$B$105,MATCH($E201,'Food Library'!$A$6:$A$105,0)),"?? code not in Library"))</f>
        <v/>
      </c>
      <c r="G201" s="32" t="str">
        <f aca="false">IF($E201="","",IFERROR(INDEX('Food Library'!$D$6:$D$105,MATCH($E201,'Food Library'!$A$6:$A$105,0)),""))</f>
        <v/>
      </c>
      <c r="H201" s="20"/>
      <c r="I201" s="20"/>
      <c r="J201" s="20"/>
      <c r="K201" s="20"/>
      <c r="L201" s="21"/>
    </row>
    <row r="202" customFormat="false" ht="15" hidden="false" customHeight="false" outlineLevel="0" collapsed="false">
      <c r="A202" s="20"/>
      <c r="B202" s="30"/>
      <c r="C202" s="20"/>
      <c r="D202" s="22"/>
      <c r="E202" s="20"/>
      <c r="F202" s="31" t="str">
        <f aca="false">IF($E202="","",IFERROR(INDEX('Food Library'!$B$6:$B$105,MATCH($E202,'Food Library'!$A$6:$A$105,0)),"?? code not in Library"))</f>
        <v/>
      </c>
      <c r="G202" s="32" t="str">
        <f aca="false">IF($E202="","",IFERROR(INDEX('Food Library'!$D$6:$D$105,MATCH($E202,'Food Library'!$A$6:$A$105,0)),""))</f>
        <v/>
      </c>
      <c r="H202" s="20"/>
      <c r="I202" s="20"/>
      <c r="J202" s="20"/>
      <c r="K202" s="20"/>
      <c r="L202" s="21"/>
    </row>
    <row r="203" customFormat="false" ht="15" hidden="false" customHeight="false" outlineLevel="0" collapsed="false">
      <c r="A203" s="20"/>
      <c r="B203" s="30"/>
      <c r="C203" s="20"/>
      <c r="D203" s="22"/>
      <c r="E203" s="20"/>
      <c r="F203" s="31" t="str">
        <f aca="false">IF($E203="","",IFERROR(INDEX('Food Library'!$B$6:$B$105,MATCH($E203,'Food Library'!$A$6:$A$105,0)),"?? code not in Library"))</f>
        <v/>
      </c>
      <c r="G203" s="32" t="str">
        <f aca="false">IF($E203="","",IFERROR(INDEX('Food Library'!$D$6:$D$105,MATCH($E203,'Food Library'!$A$6:$A$105,0)),""))</f>
        <v/>
      </c>
      <c r="H203" s="20"/>
      <c r="I203" s="20"/>
      <c r="J203" s="20"/>
      <c r="K203" s="20"/>
      <c r="L203" s="21"/>
    </row>
    <row r="204" customFormat="false" ht="15" hidden="false" customHeight="false" outlineLevel="0" collapsed="false">
      <c r="A204" s="20"/>
      <c r="B204" s="30"/>
      <c r="C204" s="20"/>
      <c r="D204" s="22"/>
      <c r="E204" s="20"/>
      <c r="F204" s="31" t="str">
        <f aca="false">IF($E204="","",IFERROR(INDEX('Food Library'!$B$6:$B$105,MATCH($E204,'Food Library'!$A$6:$A$105,0)),"?? code not in Library"))</f>
        <v/>
      </c>
      <c r="G204" s="32" t="str">
        <f aca="false">IF($E204="","",IFERROR(INDEX('Food Library'!$D$6:$D$105,MATCH($E204,'Food Library'!$A$6:$A$105,0)),""))</f>
        <v/>
      </c>
      <c r="H204" s="20"/>
      <c r="I204" s="20"/>
      <c r="J204" s="20"/>
      <c r="K204" s="20"/>
      <c r="L204" s="21"/>
    </row>
    <row r="205" customFormat="false" ht="15" hidden="false" customHeight="false" outlineLevel="0" collapsed="false">
      <c r="A205" s="20"/>
      <c r="B205" s="30"/>
      <c r="C205" s="20"/>
      <c r="D205" s="22"/>
      <c r="E205" s="20"/>
      <c r="F205" s="31" t="str">
        <f aca="false">IF($E205="","",IFERROR(INDEX('Food Library'!$B$6:$B$105,MATCH($E205,'Food Library'!$A$6:$A$105,0)),"?? code not in Library"))</f>
        <v/>
      </c>
      <c r="G205" s="32" t="str">
        <f aca="false">IF($E205="","",IFERROR(INDEX('Food Library'!$D$6:$D$105,MATCH($E205,'Food Library'!$A$6:$A$105,0)),""))</f>
        <v/>
      </c>
      <c r="H205" s="20"/>
      <c r="I205" s="20"/>
      <c r="J205" s="20"/>
      <c r="K205" s="20"/>
      <c r="L205" s="21"/>
    </row>
    <row r="206" customFormat="false" ht="15" hidden="false" customHeight="false" outlineLevel="0" collapsed="false">
      <c r="A206" s="20"/>
      <c r="B206" s="30"/>
      <c r="C206" s="20"/>
      <c r="D206" s="22"/>
      <c r="E206" s="20"/>
      <c r="F206" s="31" t="str">
        <f aca="false">IF($E206="","",IFERROR(INDEX('Food Library'!$B$6:$B$105,MATCH($E206,'Food Library'!$A$6:$A$105,0)),"?? code not in Library"))</f>
        <v/>
      </c>
      <c r="G206" s="32" t="str">
        <f aca="false">IF($E206="","",IFERROR(INDEX('Food Library'!$D$6:$D$105,MATCH($E206,'Food Library'!$A$6:$A$105,0)),""))</f>
        <v/>
      </c>
      <c r="H206" s="20"/>
      <c r="I206" s="20"/>
      <c r="J206" s="20"/>
      <c r="K206" s="20"/>
      <c r="L206" s="21"/>
    </row>
    <row r="207" customFormat="false" ht="15" hidden="false" customHeight="false" outlineLevel="0" collapsed="false">
      <c r="A207" s="20"/>
      <c r="B207" s="30"/>
      <c r="C207" s="20"/>
      <c r="D207" s="22"/>
      <c r="E207" s="20"/>
      <c r="F207" s="31" t="str">
        <f aca="false">IF($E207="","",IFERROR(INDEX('Food Library'!$B$6:$B$105,MATCH($E207,'Food Library'!$A$6:$A$105,0)),"?? code not in Library"))</f>
        <v/>
      </c>
      <c r="G207" s="32" t="str">
        <f aca="false">IF($E207="","",IFERROR(INDEX('Food Library'!$D$6:$D$105,MATCH($E207,'Food Library'!$A$6:$A$105,0)),""))</f>
        <v/>
      </c>
      <c r="H207" s="20"/>
      <c r="I207" s="20"/>
      <c r="J207" s="20"/>
      <c r="K207" s="20"/>
      <c r="L207" s="21"/>
    </row>
    <row r="208" customFormat="false" ht="15" hidden="false" customHeight="false" outlineLevel="0" collapsed="false">
      <c r="A208" s="20"/>
      <c r="B208" s="30"/>
      <c r="C208" s="20"/>
      <c r="D208" s="22"/>
      <c r="E208" s="20"/>
      <c r="F208" s="31" t="str">
        <f aca="false">IF($E208="","",IFERROR(INDEX('Food Library'!$B$6:$B$105,MATCH($E208,'Food Library'!$A$6:$A$105,0)),"?? code not in Library"))</f>
        <v/>
      </c>
      <c r="G208" s="32" t="str">
        <f aca="false">IF($E208="","",IFERROR(INDEX('Food Library'!$D$6:$D$105,MATCH($E208,'Food Library'!$A$6:$A$105,0)),""))</f>
        <v/>
      </c>
      <c r="H208" s="20"/>
      <c r="I208" s="20"/>
      <c r="J208" s="20"/>
      <c r="K208" s="20"/>
      <c r="L208" s="21"/>
    </row>
    <row r="209" customFormat="false" ht="15" hidden="false" customHeight="false" outlineLevel="0" collapsed="false">
      <c r="A209" s="20"/>
      <c r="B209" s="30"/>
      <c r="C209" s="20"/>
      <c r="D209" s="22"/>
      <c r="E209" s="20"/>
      <c r="F209" s="31" t="str">
        <f aca="false">IF($E209="","",IFERROR(INDEX('Food Library'!$B$6:$B$105,MATCH($E209,'Food Library'!$A$6:$A$105,0)),"?? code not in Library"))</f>
        <v/>
      </c>
      <c r="G209" s="32" t="str">
        <f aca="false">IF($E209="","",IFERROR(INDEX('Food Library'!$D$6:$D$105,MATCH($E209,'Food Library'!$A$6:$A$105,0)),""))</f>
        <v/>
      </c>
      <c r="H209" s="20"/>
      <c r="I209" s="20"/>
      <c r="J209" s="20"/>
      <c r="K209" s="20"/>
      <c r="L209" s="21"/>
    </row>
    <row r="210" customFormat="false" ht="15" hidden="false" customHeight="false" outlineLevel="0" collapsed="false">
      <c r="A210" s="20"/>
      <c r="B210" s="30"/>
      <c r="C210" s="20"/>
      <c r="D210" s="22"/>
      <c r="E210" s="20"/>
      <c r="F210" s="31" t="str">
        <f aca="false">IF($E210="","",IFERROR(INDEX('Food Library'!$B$6:$B$105,MATCH($E210,'Food Library'!$A$6:$A$105,0)),"?? code not in Library"))</f>
        <v/>
      </c>
      <c r="G210" s="32" t="str">
        <f aca="false">IF($E210="","",IFERROR(INDEX('Food Library'!$D$6:$D$105,MATCH($E210,'Food Library'!$A$6:$A$105,0)),""))</f>
        <v/>
      </c>
      <c r="H210" s="20"/>
      <c r="I210" s="20"/>
      <c r="J210" s="20"/>
      <c r="K210" s="20"/>
      <c r="L210" s="21"/>
    </row>
    <row r="211" customFormat="false" ht="15" hidden="false" customHeight="false" outlineLevel="0" collapsed="false">
      <c r="A211" s="20"/>
      <c r="B211" s="30"/>
      <c r="C211" s="20"/>
      <c r="D211" s="22"/>
      <c r="E211" s="20"/>
      <c r="F211" s="31" t="str">
        <f aca="false">IF($E211="","",IFERROR(INDEX('Food Library'!$B$6:$B$105,MATCH($E211,'Food Library'!$A$6:$A$105,0)),"?? code not in Library"))</f>
        <v/>
      </c>
      <c r="G211" s="32" t="str">
        <f aca="false">IF($E211="","",IFERROR(INDEX('Food Library'!$D$6:$D$105,MATCH($E211,'Food Library'!$A$6:$A$105,0)),""))</f>
        <v/>
      </c>
      <c r="H211" s="20"/>
      <c r="I211" s="20"/>
      <c r="J211" s="20"/>
      <c r="K211" s="20"/>
      <c r="L211" s="21"/>
    </row>
    <row r="212" customFormat="false" ht="15" hidden="false" customHeight="false" outlineLevel="0" collapsed="false">
      <c r="A212" s="20"/>
      <c r="B212" s="30"/>
      <c r="C212" s="20"/>
      <c r="D212" s="22"/>
      <c r="E212" s="20"/>
      <c r="F212" s="31" t="str">
        <f aca="false">IF($E212="","",IFERROR(INDEX('Food Library'!$B$6:$B$105,MATCH($E212,'Food Library'!$A$6:$A$105,0)),"?? code not in Library"))</f>
        <v/>
      </c>
      <c r="G212" s="32" t="str">
        <f aca="false">IF($E212="","",IFERROR(INDEX('Food Library'!$D$6:$D$105,MATCH($E212,'Food Library'!$A$6:$A$105,0)),""))</f>
        <v/>
      </c>
      <c r="H212" s="20"/>
      <c r="I212" s="20"/>
      <c r="J212" s="20"/>
      <c r="K212" s="20"/>
      <c r="L212" s="21"/>
    </row>
    <row r="213" customFormat="false" ht="15" hidden="false" customHeight="false" outlineLevel="0" collapsed="false">
      <c r="A213" s="20"/>
      <c r="B213" s="30"/>
      <c r="C213" s="20"/>
      <c r="D213" s="22"/>
      <c r="E213" s="20"/>
      <c r="F213" s="31" t="str">
        <f aca="false">IF($E213="","",IFERROR(INDEX('Food Library'!$B$6:$B$105,MATCH($E213,'Food Library'!$A$6:$A$105,0)),"?? code not in Library"))</f>
        <v/>
      </c>
      <c r="G213" s="32" t="str">
        <f aca="false">IF($E213="","",IFERROR(INDEX('Food Library'!$D$6:$D$105,MATCH($E213,'Food Library'!$A$6:$A$105,0)),""))</f>
        <v/>
      </c>
      <c r="H213" s="20"/>
      <c r="I213" s="20"/>
      <c r="J213" s="20"/>
      <c r="K213" s="20"/>
      <c r="L213" s="21"/>
    </row>
    <row r="214" customFormat="false" ht="15" hidden="false" customHeight="false" outlineLevel="0" collapsed="false">
      <c r="A214" s="20"/>
      <c r="B214" s="30"/>
      <c r="C214" s="20"/>
      <c r="D214" s="22"/>
      <c r="E214" s="20"/>
      <c r="F214" s="31" t="str">
        <f aca="false">IF($E214="","",IFERROR(INDEX('Food Library'!$B$6:$B$105,MATCH($E214,'Food Library'!$A$6:$A$105,0)),"?? code not in Library"))</f>
        <v/>
      </c>
      <c r="G214" s="32" t="str">
        <f aca="false">IF($E214="","",IFERROR(INDEX('Food Library'!$D$6:$D$105,MATCH($E214,'Food Library'!$A$6:$A$105,0)),""))</f>
        <v/>
      </c>
      <c r="H214" s="20"/>
      <c r="I214" s="20"/>
      <c r="J214" s="20"/>
      <c r="K214" s="20"/>
      <c r="L214" s="21"/>
    </row>
    <row r="215" customFormat="false" ht="15" hidden="false" customHeight="false" outlineLevel="0" collapsed="false">
      <c r="A215" s="20"/>
      <c r="B215" s="30"/>
      <c r="C215" s="20"/>
      <c r="D215" s="22"/>
      <c r="E215" s="20"/>
      <c r="F215" s="31" t="str">
        <f aca="false">IF($E215="","",IFERROR(INDEX('Food Library'!$B$6:$B$105,MATCH($E215,'Food Library'!$A$6:$A$105,0)),"?? code not in Library"))</f>
        <v/>
      </c>
      <c r="G215" s="32" t="str">
        <f aca="false">IF($E215="","",IFERROR(INDEX('Food Library'!$D$6:$D$105,MATCH($E215,'Food Library'!$A$6:$A$105,0)),""))</f>
        <v/>
      </c>
      <c r="H215" s="20"/>
      <c r="I215" s="20"/>
      <c r="J215" s="20"/>
      <c r="K215" s="20"/>
      <c r="L215" s="21"/>
    </row>
    <row r="216" customFormat="false" ht="15" hidden="false" customHeight="false" outlineLevel="0" collapsed="false">
      <c r="A216" s="20"/>
      <c r="B216" s="30"/>
      <c r="C216" s="20"/>
      <c r="D216" s="22"/>
      <c r="E216" s="20"/>
      <c r="F216" s="31" t="str">
        <f aca="false">IF($E216="","",IFERROR(INDEX('Food Library'!$B$6:$B$105,MATCH($E216,'Food Library'!$A$6:$A$105,0)),"?? code not in Library"))</f>
        <v/>
      </c>
      <c r="G216" s="32" t="str">
        <f aca="false">IF($E216="","",IFERROR(INDEX('Food Library'!$D$6:$D$105,MATCH($E216,'Food Library'!$A$6:$A$105,0)),""))</f>
        <v/>
      </c>
      <c r="H216" s="20"/>
      <c r="I216" s="20"/>
      <c r="J216" s="20"/>
      <c r="K216" s="20"/>
      <c r="L216" s="21"/>
    </row>
    <row r="217" customFormat="false" ht="15" hidden="false" customHeight="false" outlineLevel="0" collapsed="false">
      <c r="A217" s="20"/>
      <c r="B217" s="30"/>
      <c r="C217" s="20"/>
      <c r="D217" s="22"/>
      <c r="E217" s="20"/>
      <c r="F217" s="31" t="str">
        <f aca="false">IF($E217="","",IFERROR(INDEX('Food Library'!$B$6:$B$105,MATCH($E217,'Food Library'!$A$6:$A$105,0)),"?? code not in Library"))</f>
        <v/>
      </c>
      <c r="G217" s="32" t="str">
        <f aca="false">IF($E217="","",IFERROR(INDEX('Food Library'!$D$6:$D$105,MATCH($E217,'Food Library'!$A$6:$A$105,0)),""))</f>
        <v/>
      </c>
      <c r="H217" s="20"/>
      <c r="I217" s="20"/>
      <c r="J217" s="20"/>
      <c r="K217" s="20"/>
      <c r="L217" s="21"/>
    </row>
    <row r="218" customFormat="false" ht="15" hidden="false" customHeight="false" outlineLevel="0" collapsed="false">
      <c r="A218" s="20"/>
      <c r="B218" s="30"/>
      <c r="C218" s="20"/>
      <c r="D218" s="22"/>
      <c r="E218" s="20"/>
      <c r="F218" s="31" t="str">
        <f aca="false">IF($E218="","",IFERROR(INDEX('Food Library'!$B$6:$B$105,MATCH($E218,'Food Library'!$A$6:$A$105,0)),"?? code not in Library"))</f>
        <v/>
      </c>
      <c r="G218" s="32" t="str">
        <f aca="false">IF($E218="","",IFERROR(INDEX('Food Library'!$D$6:$D$105,MATCH($E218,'Food Library'!$A$6:$A$105,0)),""))</f>
        <v/>
      </c>
      <c r="H218" s="20"/>
      <c r="I218" s="20"/>
      <c r="J218" s="20"/>
      <c r="K218" s="20"/>
      <c r="L218" s="21"/>
    </row>
    <row r="219" customFormat="false" ht="15" hidden="false" customHeight="false" outlineLevel="0" collapsed="false">
      <c r="A219" s="20"/>
      <c r="B219" s="30"/>
      <c r="C219" s="20"/>
      <c r="D219" s="22"/>
      <c r="E219" s="20"/>
      <c r="F219" s="31" t="str">
        <f aca="false">IF($E219="","",IFERROR(INDEX('Food Library'!$B$6:$B$105,MATCH($E219,'Food Library'!$A$6:$A$105,0)),"?? code not in Library"))</f>
        <v/>
      </c>
      <c r="G219" s="32" t="str">
        <f aca="false">IF($E219="","",IFERROR(INDEX('Food Library'!$D$6:$D$105,MATCH($E219,'Food Library'!$A$6:$A$105,0)),""))</f>
        <v/>
      </c>
      <c r="H219" s="20"/>
      <c r="I219" s="20"/>
      <c r="J219" s="20"/>
      <c r="K219" s="20"/>
      <c r="L219" s="21"/>
    </row>
    <row r="220" customFormat="false" ht="15" hidden="false" customHeight="false" outlineLevel="0" collapsed="false">
      <c r="A220" s="20"/>
      <c r="B220" s="30"/>
      <c r="C220" s="20"/>
      <c r="D220" s="22"/>
      <c r="E220" s="20"/>
      <c r="F220" s="31" t="str">
        <f aca="false">IF($E220="","",IFERROR(INDEX('Food Library'!$B$6:$B$105,MATCH($E220,'Food Library'!$A$6:$A$105,0)),"?? code not in Library"))</f>
        <v/>
      </c>
      <c r="G220" s="32" t="str">
        <f aca="false">IF($E220="","",IFERROR(INDEX('Food Library'!$D$6:$D$105,MATCH($E220,'Food Library'!$A$6:$A$105,0)),""))</f>
        <v/>
      </c>
      <c r="H220" s="20"/>
      <c r="I220" s="20"/>
      <c r="J220" s="20"/>
      <c r="K220" s="20"/>
      <c r="L220" s="21"/>
    </row>
    <row r="221" customFormat="false" ht="15" hidden="false" customHeight="false" outlineLevel="0" collapsed="false">
      <c r="A221" s="20"/>
      <c r="B221" s="30"/>
      <c r="C221" s="20"/>
      <c r="D221" s="22"/>
      <c r="E221" s="20"/>
      <c r="F221" s="31" t="str">
        <f aca="false">IF($E221="","",IFERROR(INDEX('Food Library'!$B$6:$B$105,MATCH($E221,'Food Library'!$A$6:$A$105,0)),"?? code not in Library"))</f>
        <v/>
      </c>
      <c r="G221" s="32" t="str">
        <f aca="false">IF($E221="","",IFERROR(INDEX('Food Library'!$D$6:$D$105,MATCH($E221,'Food Library'!$A$6:$A$105,0)),""))</f>
        <v/>
      </c>
      <c r="H221" s="20"/>
      <c r="I221" s="20"/>
      <c r="J221" s="20"/>
      <c r="K221" s="20"/>
      <c r="L221" s="21"/>
    </row>
    <row r="222" customFormat="false" ht="15" hidden="false" customHeight="false" outlineLevel="0" collapsed="false">
      <c r="A222" s="20"/>
      <c r="B222" s="30"/>
      <c r="C222" s="20"/>
      <c r="D222" s="22"/>
      <c r="E222" s="20"/>
      <c r="F222" s="31" t="str">
        <f aca="false">IF($E222="","",IFERROR(INDEX('Food Library'!$B$6:$B$105,MATCH($E222,'Food Library'!$A$6:$A$105,0)),"?? code not in Library"))</f>
        <v/>
      </c>
      <c r="G222" s="32" t="str">
        <f aca="false">IF($E222="","",IFERROR(INDEX('Food Library'!$D$6:$D$105,MATCH($E222,'Food Library'!$A$6:$A$105,0)),""))</f>
        <v/>
      </c>
      <c r="H222" s="20"/>
      <c r="I222" s="20"/>
      <c r="J222" s="20"/>
      <c r="K222" s="20"/>
      <c r="L222" s="21"/>
    </row>
    <row r="223" customFormat="false" ht="15" hidden="false" customHeight="false" outlineLevel="0" collapsed="false">
      <c r="A223" s="20"/>
      <c r="B223" s="30"/>
      <c r="C223" s="20"/>
      <c r="D223" s="22"/>
      <c r="E223" s="20"/>
      <c r="F223" s="31" t="str">
        <f aca="false">IF($E223="","",IFERROR(INDEX('Food Library'!$B$6:$B$105,MATCH($E223,'Food Library'!$A$6:$A$105,0)),"?? code not in Library"))</f>
        <v/>
      </c>
      <c r="G223" s="32" t="str">
        <f aca="false">IF($E223="","",IFERROR(INDEX('Food Library'!$D$6:$D$105,MATCH($E223,'Food Library'!$A$6:$A$105,0)),""))</f>
        <v/>
      </c>
      <c r="H223" s="20"/>
      <c r="I223" s="20"/>
      <c r="J223" s="20"/>
      <c r="K223" s="20"/>
      <c r="L223" s="21"/>
    </row>
    <row r="224" customFormat="false" ht="15" hidden="false" customHeight="false" outlineLevel="0" collapsed="false">
      <c r="A224" s="20"/>
      <c r="B224" s="30"/>
      <c r="C224" s="20"/>
      <c r="D224" s="22"/>
      <c r="E224" s="20"/>
      <c r="F224" s="31" t="str">
        <f aca="false">IF($E224="","",IFERROR(INDEX('Food Library'!$B$6:$B$105,MATCH($E224,'Food Library'!$A$6:$A$105,0)),"?? code not in Library"))</f>
        <v/>
      </c>
      <c r="G224" s="32" t="str">
        <f aca="false">IF($E224="","",IFERROR(INDEX('Food Library'!$D$6:$D$105,MATCH($E224,'Food Library'!$A$6:$A$105,0)),""))</f>
        <v/>
      </c>
      <c r="H224" s="20"/>
      <c r="I224" s="20"/>
      <c r="J224" s="20"/>
      <c r="K224" s="20"/>
      <c r="L224" s="21"/>
    </row>
    <row r="225" customFormat="false" ht="15" hidden="false" customHeight="false" outlineLevel="0" collapsed="false">
      <c r="A225" s="20"/>
      <c r="B225" s="30"/>
      <c r="C225" s="20"/>
      <c r="D225" s="22"/>
      <c r="E225" s="20"/>
      <c r="F225" s="31" t="str">
        <f aca="false">IF($E225="","",IFERROR(INDEX('Food Library'!$B$6:$B$105,MATCH($E225,'Food Library'!$A$6:$A$105,0)),"?? code not in Library"))</f>
        <v/>
      </c>
      <c r="G225" s="32" t="str">
        <f aca="false">IF($E225="","",IFERROR(INDEX('Food Library'!$D$6:$D$105,MATCH($E225,'Food Library'!$A$6:$A$105,0)),""))</f>
        <v/>
      </c>
      <c r="H225" s="20"/>
      <c r="I225" s="20"/>
      <c r="J225" s="20"/>
      <c r="K225" s="20"/>
      <c r="L225" s="21"/>
    </row>
    <row r="226" customFormat="false" ht="15" hidden="false" customHeight="false" outlineLevel="0" collapsed="false">
      <c r="A226" s="20"/>
      <c r="B226" s="30"/>
      <c r="C226" s="20"/>
      <c r="D226" s="22"/>
      <c r="E226" s="20"/>
      <c r="F226" s="31" t="str">
        <f aca="false">IF($E226="","",IFERROR(INDEX('Food Library'!$B$6:$B$105,MATCH($E226,'Food Library'!$A$6:$A$105,0)),"?? code not in Library"))</f>
        <v/>
      </c>
      <c r="G226" s="32" t="str">
        <f aca="false">IF($E226="","",IFERROR(INDEX('Food Library'!$D$6:$D$105,MATCH($E226,'Food Library'!$A$6:$A$105,0)),""))</f>
        <v/>
      </c>
      <c r="H226" s="20"/>
      <c r="I226" s="20"/>
      <c r="J226" s="20"/>
      <c r="K226" s="20"/>
      <c r="L226" s="21"/>
    </row>
    <row r="227" customFormat="false" ht="15" hidden="false" customHeight="false" outlineLevel="0" collapsed="false">
      <c r="A227" s="20"/>
      <c r="B227" s="30"/>
      <c r="C227" s="20"/>
      <c r="D227" s="22"/>
      <c r="E227" s="20"/>
      <c r="F227" s="31" t="str">
        <f aca="false">IF($E227="","",IFERROR(INDEX('Food Library'!$B$6:$B$105,MATCH($E227,'Food Library'!$A$6:$A$105,0)),"?? code not in Library"))</f>
        <v/>
      </c>
      <c r="G227" s="32" t="str">
        <f aca="false">IF($E227="","",IFERROR(INDEX('Food Library'!$D$6:$D$105,MATCH($E227,'Food Library'!$A$6:$A$105,0)),""))</f>
        <v/>
      </c>
      <c r="H227" s="20"/>
      <c r="I227" s="20"/>
      <c r="J227" s="20"/>
      <c r="K227" s="20"/>
      <c r="L227" s="21"/>
    </row>
    <row r="228" customFormat="false" ht="15" hidden="false" customHeight="false" outlineLevel="0" collapsed="false">
      <c r="A228" s="20"/>
      <c r="B228" s="30"/>
      <c r="C228" s="20"/>
      <c r="D228" s="22"/>
      <c r="E228" s="20"/>
      <c r="F228" s="31" t="str">
        <f aca="false">IF($E228="","",IFERROR(INDEX('Food Library'!$B$6:$B$105,MATCH($E228,'Food Library'!$A$6:$A$105,0)),"?? code not in Library"))</f>
        <v/>
      </c>
      <c r="G228" s="32" t="str">
        <f aca="false">IF($E228="","",IFERROR(INDEX('Food Library'!$D$6:$D$105,MATCH($E228,'Food Library'!$A$6:$A$105,0)),""))</f>
        <v/>
      </c>
      <c r="H228" s="20"/>
      <c r="I228" s="20"/>
      <c r="J228" s="20"/>
      <c r="K228" s="20"/>
      <c r="L228" s="21"/>
    </row>
    <row r="229" customFormat="false" ht="15" hidden="false" customHeight="false" outlineLevel="0" collapsed="false">
      <c r="A229" s="20"/>
      <c r="B229" s="30"/>
      <c r="C229" s="20"/>
      <c r="D229" s="22"/>
      <c r="E229" s="20"/>
      <c r="F229" s="31" t="str">
        <f aca="false">IF($E229="","",IFERROR(INDEX('Food Library'!$B$6:$B$105,MATCH($E229,'Food Library'!$A$6:$A$105,0)),"?? code not in Library"))</f>
        <v/>
      </c>
      <c r="G229" s="32" t="str">
        <f aca="false">IF($E229="","",IFERROR(INDEX('Food Library'!$D$6:$D$105,MATCH($E229,'Food Library'!$A$6:$A$105,0)),""))</f>
        <v/>
      </c>
      <c r="H229" s="20"/>
      <c r="I229" s="20"/>
      <c r="J229" s="20"/>
      <c r="K229" s="20"/>
      <c r="L229" s="21"/>
    </row>
    <row r="230" customFormat="false" ht="15" hidden="false" customHeight="false" outlineLevel="0" collapsed="false">
      <c r="A230" s="20"/>
      <c r="B230" s="30"/>
      <c r="C230" s="20"/>
      <c r="D230" s="22"/>
      <c r="E230" s="20"/>
      <c r="F230" s="31" t="str">
        <f aca="false">IF($E230="","",IFERROR(INDEX('Food Library'!$B$6:$B$105,MATCH($E230,'Food Library'!$A$6:$A$105,0)),"?? code not in Library"))</f>
        <v/>
      </c>
      <c r="G230" s="32" t="str">
        <f aca="false">IF($E230="","",IFERROR(INDEX('Food Library'!$D$6:$D$105,MATCH($E230,'Food Library'!$A$6:$A$105,0)),""))</f>
        <v/>
      </c>
      <c r="H230" s="20"/>
      <c r="I230" s="20"/>
      <c r="J230" s="20"/>
      <c r="K230" s="20"/>
      <c r="L230" s="21"/>
    </row>
    <row r="231" customFormat="false" ht="15" hidden="false" customHeight="false" outlineLevel="0" collapsed="false">
      <c r="A231" s="20"/>
      <c r="B231" s="30"/>
      <c r="C231" s="20"/>
      <c r="D231" s="22"/>
      <c r="E231" s="20"/>
      <c r="F231" s="31" t="str">
        <f aca="false">IF($E231="","",IFERROR(INDEX('Food Library'!$B$6:$B$105,MATCH($E231,'Food Library'!$A$6:$A$105,0)),"?? code not in Library"))</f>
        <v/>
      </c>
      <c r="G231" s="32" t="str">
        <f aca="false">IF($E231="","",IFERROR(INDEX('Food Library'!$D$6:$D$105,MATCH($E231,'Food Library'!$A$6:$A$105,0)),""))</f>
        <v/>
      </c>
      <c r="H231" s="20"/>
      <c r="I231" s="20"/>
      <c r="J231" s="20"/>
      <c r="K231" s="20"/>
      <c r="L231" s="21"/>
    </row>
    <row r="232" customFormat="false" ht="15" hidden="false" customHeight="false" outlineLevel="0" collapsed="false">
      <c r="A232" s="20"/>
      <c r="B232" s="30"/>
      <c r="C232" s="20"/>
      <c r="D232" s="22"/>
      <c r="E232" s="20"/>
      <c r="F232" s="31" t="str">
        <f aca="false">IF($E232="","",IFERROR(INDEX('Food Library'!$B$6:$B$105,MATCH($E232,'Food Library'!$A$6:$A$105,0)),"?? code not in Library"))</f>
        <v/>
      </c>
      <c r="G232" s="32" t="str">
        <f aca="false">IF($E232="","",IFERROR(INDEX('Food Library'!$D$6:$D$105,MATCH($E232,'Food Library'!$A$6:$A$105,0)),""))</f>
        <v/>
      </c>
      <c r="H232" s="20"/>
      <c r="I232" s="20"/>
      <c r="J232" s="20"/>
      <c r="K232" s="20"/>
      <c r="L232" s="21"/>
    </row>
    <row r="233" customFormat="false" ht="15" hidden="false" customHeight="false" outlineLevel="0" collapsed="false">
      <c r="A233" s="20"/>
      <c r="B233" s="30"/>
      <c r="C233" s="20"/>
      <c r="D233" s="22"/>
      <c r="E233" s="20"/>
      <c r="F233" s="31" t="str">
        <f aca="false">IF($E233="","",IFERROR(INDEX('Food Library'!$B$6:$B$105,MATCH($E233,'Food Library'!$A$6:$A$105,0)),"?? code not in Library"))</f>
        <v/>
      </c>
      <c r="G233" s="32" t="str">
        <f aca="false">IF($E233="","",IFERROR(INDEX('Food Library'!$D$6:$D$105,MATCH($E233,'Food Library'!$A$6:$A$105,0)),""))</f>
        <v/>
      </c>
      <c r="H233" s="20"/>
      <c r="I233" s="20"/>
      <c r="J233" s="20"/>
      <c r="K233" s="20"/>
      <c r="L233" s="21"/>
    </row>
    <row r="234" customFormat="false" ht="15" hidden="false" customHeight="false" outlineLevel="0" collapsed="false">
      <c r="A234" s="20"/>
      <c r="B234" s="30"/>
      <c r="C234" s="20"/>
      <c r="D234" s="22"/>
      <c r="E234" s="20"/>
      <c r="F234" s="31" t="str">
        <f aca="false">IF($E234="","",IFERROR(INDEX('Food Library'!$B$6:$B$105,MATCH($E234,'Food Library'!$A$6:$A$105,0)),"?? code not in Library"))</f>
        <v/>
      </c>
      <c r="G234" s="32" t="str">
        <f aca="false">IF($E234="","",IFERROR(INDEX('Food Library'!$D$6:$D$105,MATCH($E234,'Food Library'!$A$6:$A$105,0)),""))</f>
        <v/>
      </c>
      <c r="H234" s="20"/>
      <c r="I234" s="20"/>
      <c r="J234" s="20"/>
      <c r="K234" s="20"/>
      <c r="L234" s="21"/>
    </row>
    <row r="235" customFormat="false" ht="15" hidden="false" customHeight="false" outlineLevel="0" collapsed="false">
      <c r="A235" s="20"/>
      <c r="B235" s="30"/>
      <c r="C235" s="20"/>
      <c r="D235" s="22"/>
      <c r="E235" s="20"/>
      <c r="F235" s="31" t="str">
        <f aca="false">IF($E235="","",IFERROR(INDEX('Food Library'!$B$6:$B$105,MATCH($E235,'Food Library'!$A$6:$A$105,0)),"?? code not in Library"))</f>
        <v/>
      </c>
      <c r="G235" s="32" t="str">
        <f aca="false">IF($E235="","",IFERROR(INDEX('Food Library'!$D$6:$D$105,MATCH($E235,'Food Library'!$A$6:$A$105,0)),""))</f>
        <v/>
      </c>
      <c r="H235" s="20"/>
      <c r="I235" s="20"/>
      <c r="J235" s="20"/>
      <c r="K235" s="20"/>
      <c r="L235" s="21"/>
    </row>
    <row r="236" customFormat="false" ht="15" hidden="false" customHeight="false" outlineLevel="0" collapsed="false">
      <c r="A236" s="20"/>
      <c r="B236" s="30"/>
      <c r="C236" s="20"/>
      <c r="D236" s="22"/>
      <c r="E236" s="20"/>
      <c r="F236" s="31" t="str">
        <f aca="false">IF($E236="","",IFERROR(INDEX('Food Library'!$B$6:$B$105,MATCH($E236,'Food Library'!$A$6:$A$105,0)),"?? code not in Library"))</f>
        <v/>
      </c>
      <c r="G236" s="32" t="str">
        <f aca="false">IF($E236="","",IFERROR(INDEX('Food Library'!$D$6:$D$105,MATCH($E236,'Food Library'!$A$6:$A$105,0)),""))</f>
        <v/>
      </c>
      <c r="H236" s="20"/>
      <c r="I236" s="20"/>
      <c r="J236" s="20"/>
      <c r="K236" s="20"/>
      <c r="L236" s="21"/>
    </row>
    <row r="237" customFormat="false" ht="15" hidden="false" customHeight="false" outlineLevel="0" collapsed="false">
      <c r="A237" s="20"/>
      <c r="B237" s="30"/>
      <c r="C237" s="20"/>
      <c r="D237" s="22"/>
      <c r="E237" s="20"/>
      <c r="F237" s="31" t="str">
        <f aca="false">IF($E237="","",IFERROR(INDEX('Food Library'!$B$6:$B$105,MATCH($E237,'Food Library'!$A$6:$A$105,0)),"?? code not in Library"))</f>
        <v/>
      </c>
      <c r="G237" s="32" t="str">
        <f aca="false">IF($E237="","",IFERROR(INDEX('Food Library'!$D$6:$D$105,MATCH($E237,'Food Library'!$A$6:$A$105,0)),""))</f>
        <v/>
      </c>
      <c r="H237" s="20"/>
      <c r="I237" s="20"/>
      <c r="J237" s="20"/>
      <c r="K237" s="20"/>
      <c r="L237" s="21"/>
    </row>
    <row r="238" customFormat="false" ht="15" hidden="false" customHeight="false" outlineLevel="0" collapsed="false">
      <c r="A238" s="20"/>
      <c r="B238" s="30"/>
      <c r="C238" s="20"/>
      <c r="D238" s="22"/>
      <c r="E238" s="20"/>
      <c r="F238" s="31" t="str">
        <f aca="false">IF($E238="","",IFERROR(INDEX('Food Library'!$B$6:$B$105,MATCH($E238,'Food Library'!$A$6:$A$105,0)),"?? code not in Library"))</f>
        <v/>
      </c>
      <c r="G238" s="32" t="str">
        <f aca="false">IF($E238="","",IFERROR(INDEX('Food Library'!$D$6:$D$105,MATCH($E238,'Food Library'!$A$6:$A$105,0)),""))</f>
        <v/>
      </c>
      <c r="H238" s="20"/>
      <c r="I238" s="20"/>
      <c r="J238" s="20"/>
      <c r="K238" s="20"/>
      <c r="L238" s="21"/>
    </row>
    <row r="239" customFormat="false" ht="15" hidden="false" customHeight="false" outlineLevel="0" collapsed="false">
      <c r="A239" s="20"/>
      <c r="B239" s="30"/>
      <c r="C239" s="20"/>
      <c r="D239" s="22"/>
      <c r="E239" s="20"/>
      <c r="F239" s="31" t="str">
        <f aca="false">IF($E239="","",IFERROR(INDEX('Food Library'!$B$6:$B$105,MATCH($E239,'Food Library'!$A$6:$A$105,0)),"?? code not in Library"))</f>
        <v/>
      </c>
      <c r="G239" s="32" t="str">
        <f aca="false">IF($E239="","",IFERROR(INDEX('Food Library'!$D$6:$D$105,MATCH($E239,'Food Library'!$A$6:$A$105,0)),""))</f>
        <v/>
      </c>
      <c r="H239" s="20"/>
      <c r="I239" s="20"/>
      <c r="J239" s="20"/>
      <c r="K239" s="20"/>
      <c r="L239" s="21"/>
    </row>
    <row r="240" customFormat="false" ht="15" hidden="false" customHeight="false" outlineLevel="0" collapsed="false">
      <c r="A240" s="20"/>
      <c r="B240" s="30"/>
      <c r="C240" s="20"/>
      <c r="D240" s="22"/>
      <c r="E240" s="20"/>
      <c r="F240" s="31" t="str">
        <f aca="false">IF($E240="","",IFERROR(INDEX('Food Library'!$B$6:$B$105,MATCH($E240,'Food Library'!$A$6:$A$105,0)),"?? code not in Library"))</f>
        <v/>
      </c>
      <c r="G240" s="32" t="str">
        <f aca="false">IF($E240="","",IFERROR(INDEX('Food Library'!$D$6:$D$105,MATCH($E240,'Food Library'!$A$6:$A$105,0)),""))</f>
        <v/>
      </c>
      <c r="H240" s="20"/>
      <c r="I240" s="20"/>
      <c r="J240" s="20"/>
      <c r="K240" s="20"/>
      <c r="L240" s="21"/>
    </row>
    <row r="241" customFormat="false" ht="15" hidden="false" customHeight="false" outlineLevel="0" collapsed="false">
      <c r="A241" s="20"/>
      <c r="B241" s="30"/>
      <c r="C241" s="20"/>
      <c r="D241" s="22"/>
      <c r="E241" s="20"/>
      <c r="F241" s="31" t="str">
        <f aca="false">IF($E241="","",IFERROR(INDEX('Food Library'!$B$6:$B$105,MATCH($E241,'Food Library'!$A$6:$A$105,0)),"?? code not in Library"))</f>
        <v/>
      </c>
      <c r="G241" s="32" t="str">
        <f aca="false">IF($E241="","",IFERROR(INDEX('Food Library'!$D$6:$D$105,MATCH($E241,'Food Library'!$A$6:$A$105,0)),""))</f>
        <v/>
      </c>
      <c r="H241" s="20"/>
      <c r="I241" s="20"/>
      <c r="J241" s="20"/>
      <c r="K241" s="20"/>
      <c r="L241" s="21"/>
    </row>
    <row r="242" customFormat="false" ht="15" hidden="false" customHeight="false" outlineLevel="0" collapsed="false">
      <c r="A242" s="20"/>
      <c r="B242" s="30"/>
      <c r="C242" s="20"/>
      <c r="D242" s="22"/>
      <c r="E242" s="20"/>
      <c r="F242" s="31" t="str">
        <f aca="false">IF($E242="","",IFERROR(INDEX('Food Library'!$B$6:$B$105,MATCH($E242,'Food Library'!$A$6:$A$105,0)),"?? code not in Library"))</f>
        <v/>
      </c>
      <c r="G242" s="32" t="str">
        <f aca="false">IF($E242="","",IFERROR(INDEX('Food Library'!$D$6:$D$105,MATCH($E242,'Food Library'!$A$6:$A$105,0)),""))</f>
        <v/>
      </c>
      <c r="H242" s="20"/>
      <c r="I242" s="20"/>
      <c r="J242" s="20"/>
      <c r="K242" s="20"/>
      <c r="L242" s="21"/>
    </row>
    <row r="243" customFormat="false" ht="15" hidden="false" customHeight="false" outlineLevel="0" collapsed="false">
      <c r="A243" s="20"/>
      <c r="B243" s="30"/>
      <c r="C243" s="20"/>
      <c r="D243" s="22"/>
      <c r="E243" s="20"/>
      <c r="F243" s="31" t="str">
        <f aca="false">IF($E243="","",IFERROR(INDEX('Food Library'!$B$6:$B$105,MATCH($E243,'Food Library'!$A$6:$A$105,0)),"?? code not in Library"))</f>
        <v/>
      </c>
      <c r="G243" s="32" t="str">
        <f aca="false">IF($E243="","",IFERROR(INDEX('Food Library'!$D$6:$D$105,MATCH($E243,'Food Library'!$A$6:$A$105,0)),""))</f>
        <v/>
      </c>
      <c r="H243" s="20"/>
      <c r="I243" s="20"/>
      <c r="J243" s="20"/>
      <c r="K243" s="20"/>
      <c r="L243" s="21"/>
    </row>
    <row r="244" customFormat="false" ht="15" hidden="false" customHeight="false" outlineLevel="0" collapsed="false">
      <c r="A244" s="20"/>
      <c r="B244" s="30"/>
      <c r="C244" s="20"/>
      <c r="D244" s="22"/>
      <c r="E244" s="20"/>
      <c r="F244" s="31" t="str">
        <f aca="false">IF($E244="","",IFERROR(INDEX('Food Library'!$B$6:$B$105,MATCH($E244,'Food Library'!$A$6:$A$105,0)),"?? code not in Library"))</f>
        <v/>
      </c>
      <c r="G244" s="32" t="str">
        <f aca="false">IF($E244="","",IFERROR(INDEX('Food Library'!$D$6:$D$105,MATCH($E244,'Food Library'!$A$6:$A$105,0)),""))</f>
        <v/>
      </c>
      <c r="H244" s="20"/>
      <c r="I244" s="20"/>
      <c r="J244" s="20"/>
      <c r="K244" s="20"/>
      <c r="L244" s="21"/>
    </row>
    <row r="245" customFormat="false" ht="15" hidden="false" customHeight="false" outlineLevel="0" collapsed="false">
      <c r="A245" s="20"/>
      <c r="B245" s="30"/>
      <c r="C245" s="20"/>
      <c r="D245" s="22"/>
      <c r="E245" s="20"/>
      <c r="F245" s="31" t="str">
        <f aca="false">IF($E245="","",IFERROR(INDEX('Food Library'!$B$6:$B$105,MATCH($E245,'Food Library'!$A$6:$A$105,0)),"?? code not in Library"))</f>
        <v/>
      </c>
      <c r="G245" s="32" t="str">
        <f aca="false">IF($E245="","",IFERROR(INDEX('Food Library'!$D$6:$D$105,MATCH($E245,'Food Library'!$A$6:$A$105,0)),""))</f>
        <v/>
      </c>
      <c r="H245" s="20"/>
      <c r="I245" s="20"/>
      <c r="J245" s="20"/>
      <c r="K245" s="20"/>
      <c r="L245" s="21"/>
    </row>
    <row r="246" customFormat="false" ht="15" hidden="false" customHeight="false" outlineLevel="0" collapsed="false">
      <c r="A246" s="20"/>
      <c r="B246" s="30"/>
      <c r="C246" s="20"/>
      <c r="D246" s="22"/>
      <c r="E246" s="20"/>
      <c r="F246" s="31" t="str">
        <f aca="false">IF($E246="","",IFERROR(INDEX('Food Library'!$B$6:$B$105,MATCH($E246,'Food Library'!$A$6:$A$105,0)),"?? code not in Library"))</f>
        <v/>
      </c>
      <c r="G246" s="32" t="str">
        <f aca="false">IF($E246="","",IFERROR(INDEX('Food Library'!$D$6:$D$105,MATCH($E246,'Food Library'!$A$6:$A$105,0)),""))</f>
        <v/>
      </c>
      <c r="H246" s="20"/>
      <c r="I246" s="20"/>
      <c r="J246" s="20"/>
      <c r="K246" s="20"/>
      <c r="L246" s="21"/>
    </row>
    <row r="247" customFormat="false" ht="15" hidden="false" customHeight="false" outlineLevel="0" collapsed="false">
      <c r="A247" s="20"/>
      <c r="B247" s="30"/>
      <c r="C247" s="20"/>
      <c r="D247" s="22"/>
      <c r="E247" s="20"/>
      <c r="F247" s="31" t="str">
        <f aca="false">IF($E247="","",IFERROR(INDEX('Food Library'!$B$6:$B$105,MATCH($E247,'Food Library'!$A$6:$A$105,0)),"?? code not in Library"))</f>
        <v/>
      </c>
      <c r="G247" s="32" t="str">
        <f aca="false">IF($E247="","",IFERROR(INDEX('Food Library'!$D$6:$D$105,MATCH($E247,'Food Library'!$A$6:$A$105,0)),""))</f>
        <v/>
      </c>
      <c r="H247" s="20"/>
      <c r="I247" s="20"/>
      <c r="J247" s="20"/>
      <c r="K247" s="20"/>
      <c r="L247" s="21"/>
    </row>
    <row r="248" customFormat="false" ht="15" hidden="false" customHeight="false" outlineLevel="0" collapsed="false">
      <c r="A248" s="20"/>
      <c r="B248" s="30"/>
      <c r="C248" s="20"/>
      <c r="D248" s="22"/>
      <c r="E248" s="20"/>
      <c r="F248" s="31" t="str">
        <f aca="false">IF($E248="","",IFERROR(INDEX('Food Library'!$B$6:$B$105,MATCH($E248,'Food Library'!$A$6:$A$105,0)),"?? code not in Library"))</f>
        <v/>
      </c>
      <c r="G248" s="32" t="str">
        <f aca="false">IF($E248="","",IFERROR(INDEX('Food Library'!$D$6:$D$105,MATCH($E248,'Food Library'!$A$6:$A$105,0)),""))</f>
        <v/>
      </c>
      <c r="H248" s="20"/>
      <c r="I248" s="20"/>
      <c r="J248" s="20"/>
      <c r="K248" s="20"/>
      <c r="L248" s="21"/>
    </row>
    <row r="249" customFormat="false" ht="15" hidden="false" customHeight="false" outlineLevel="0" collapsed="false">
      <c r="A249" s="20"/>
      <c r="B249" s="30"/>
      <c r="C249" s="20"/>
      <c r="D249" s="22"/>
      <c r="E249" s="20"/>
      <c r="F249" s="31" t="str">
        <f aca="false">IF($E249="","",IFERROR(INDEX('Food Library'!$B$6:$B$105,MATCH($E249,'Food Library'!$A$6:$A$105,0)),"?? code not in Library"))</f>
        <v/>
      </c>
      <c r="G249" s="32" t="str">
        <f aca="false">IF($E249="","",IFERROR(INDEX('Food Library'!$D$6:$D$105,MATCH($E249,'Food Library'!$A$6:$A$105,0)),""))</f>
        <v/>
      </c>
      <c r="H249" s="20"/>
      <c r="I249" s="20"/>
      <c r="J249" s="20"/>
      <c r="K249" s="20"/>
      <c r="L249" s="21"/>
    </row>
    <row r="250" customFormat="false" ht="15" hidden="false" customHeight="false" outlineLevel="0" collapsed="false">
      <c r="A250" s="20"/>
      <c r="B250" s="30"/>
      <c r="C250" s="20"/>
      <c r="D250" s="22"/>
      <c r="E250" s="20"/>
      <c r="F250" s="31" t="str">
        <f aca="false">IF($E250="","",IFERROR(INDEX('Food Library'!$B$6:$B$105,MATCH($E250,'Food Library'!$A$6:$A$105,0)),"?? code not in Library"))</f>
        <v/>
      </c>
      <c r="G250" s="32" t="str">
        <f aca="false">IF($E250="","",IFERROR(INDEX('Food Library'!$D$6:$D$105,MATCH($E250,'Food Library'!$A$6:$A$105,0)),""))</f>
        <v/>
      </c>
      <c r="H250" s="20"/>
      <c r="I250" s="20"/>
      <c r="J250" s="20"/>
      <c r="K250" s="20"/>
      <c r="L250" s="21"/>
    </row>
    <row r="251" customFormat="false" ht="15" hidden="false" customHeight="false" outlineLevel="0" collapsed="false">
      <c r="A251" s="20"/>
      <c r="B251" s="30"/>
      <c r="C251" s="20"/>
      <c r="D251" s="22"/>
      <c r="E251" s="20"/>
      <c r="F251" s="31" t="str">
        <f aca="false">IF($E251="","",IFERROR(INDEX('Food Library'!$B$6:$B$105,MATCH($E251,'Food Library'!$A$6:$A$105,0)),"?? code not in Library"))</f>
        <v/>
      </c>
      <c r="G251" s="32" t="str">
        <f aca="false">IF($E251="","",IFERROR(INDEX('Food Library'!$D$6:$D$105,MATCH($E251,'Food Library'!$A$6:$A$105,0)),""))</f>
        <v/>
      </c>
      <c r="H251" s="20"/>
      <c r="I251" s="20"/>
      <c r="J251" s="20"/>
      <c r="K251" s="20"/>
      <c r="L251" s="21"/>
    </row>
    <row r="252" customFormat="false" ht="15" hidden="false" customHeight="false" outlineLevel="0" collapsed="false">
      <c r="A252" s="20"/>
      <c r="B252" s="30"/>
      <c r="C252" s="20"/>
      <c r="D252" s="22"/>
      <c r="E252" s="20"/>
      <c r="F252" s="31" t="str">
        <f aca="false">IF($E252="","",IFERROR(INDEX('Food Library'!$B$6:$B$105,MATCH($E252,'Food Library'!$A$6:$A$105,0)),"?? code not in Library"))</f>
        <v/>
      </c>
      <c r="G252" s="32" t="str">
        <f aca="false">IF($E252="","",IFERROR(INDEX('Food Library'!$D$6:$D$105,MATCH($E252,'Food Library'!$A$6:$A$105,0)),""))</f>
        <v/>
      </c>
      <c r="H252" s="20"/>
      <c r="I252" s="20"/>
      <c r="J252" s="20"/>
      <c r="K252" s="20"/>
      <c r="L252" s="21"/>
    </row>
    <row r="253" customFormat="false" ht="15" hidden="false" customHeight="false" outlineLevel="0" collapsed="false">
      <c r="A253" s="20"/>
      <c r="B253" s="30"/>
      <c r="C253" s="20"/>
      <c r="D253" s="22"/>
      <c r="E253" s="20"/>
      <c r="F253" s="31" t="str">
        <f aca="false">IF($E253="","",IFERROR(INDEX('Food Library'!$B$6:$B$105,MATCH($E253,'Food Library'!$A$6:$A$105,0)),"?? code not in Library"))</f>
        <v/>
      </c>
      <c r="G253" s="32" t="str">
        <f aca="false">IF($E253="","",IFERROR(INDEX('Food Library'!$D$6:$D$105,MATCH($E253,'Food Library'!$A$6:$A$105,0)),""))</f>
        <v/>
      </c>
      <c r="H253" s="20"/>
      <c r="I253" s="20"/>
      <c r="J253" s="20"/>
      <c r="K253" s="20"/>
      <c r="L253" s="21"/>
    </row>
    <row r="254" customFormat="false" ht="15" hidden="false" customHeight="false" outlineLevel="0" collapsed="false">
      <c r="A254" s="20"/>
      <c r="B254" s="30"/>
      <c r="C254" s="20"/>
      <c r="D254" s="22"/>
      <c r="E254" s="20"/>
      <c r="F254" s="31" t="str">
        <f aca="false">IF($E254="","",IFERROR(INDEX('Food Library'!$B$6:$B$105,MATCH($E254,'Food Library'!$A$6:$A$105,0)),"?? code not in Library"))</f>
        <v/>
      </c>
      <c r="G254" s="32" t="str">
        <f aca="false">IF($E254="","",IFERROR(INDEX('Food Library'!$D$6:$D$105,MATCH($E254,'Food Library'!$A$6:$A$105,0)),""))</f>
        <v/>
      </c>
      <c r="H254" s="20"/>
      <c r="I254" s="20"/>
      <c r="J254" s="20"/>
      <c r="K254" s="20"/>
      <c r="L254" s="21"/>
    </row>
    <row r="255" customFormat="false" ht="15" hidden="false" customHeight="false" outlineLevel="0" collapsed="false">
      <c r="A255" s="20"/>
      <c r="B255" s="30"/>
      <c r="C255" s="20"/>
      <c r="D255" s="22"/>
      <c r="E255" s="20"/>
      <c r="F255" s="31" t="str">
        <f aca="false">IF($E255="","",IFERROR(INDEX('Food Library'!$B$6:$B$105,MATCH($E255,'Food Library'!$A$6:$A$105,0)),"?? code not in Library"))</f>
        <v/>
      </c>
      <c r="G255" s="32" t="str">
        <f aca="false">IF($E255="","",IFERROR(INDEX('Food Library'!$D$6:$D$105,MATCH($E255,'Food Library'!$A$6:$A$105,0)),""))</f>
        <v/>
      </c>
      <c r="H255" s="20"/>
      <c r="I255" s="20"/>
      <c r="J255" s="20"/>
      <c r="K255" s="20"/>
      <c r="L255" s="21"/>
    </row>
    <row r="256" customFormat="false" ht="15" hidden="false" customHeight="false" outlineLevel="0" collapsed="false">
      <c r="A256" s="20"/>
      <c r="B256" s="30"/>
      <c r="C256" s="20"/>
      <c r="D256" s="22"/>
      <c r="E256" s="20"/>
      <c r="F256" s="31" t="str">
        <f aca="false">IF($E256="","",IFERROR(INDEX('Food Library'!$B$6:$B$105,MATCH($E256,'Food Library'!$A$6:$A$105,0)),"?? code not in Library"))</f>
        <v/>
      </c>
      <c r="G256" s="32" t="str">
        <f aca="false">IF($E256="","",IFERROR(INDEX('Food Library'!$D$6:$D$105,MATCH($E256,'Food Library'!$A$6:$A$105,0)),""))</f>
        <v/>
      </c>
      <c r="H256" s="20"/>
      <c r="I256" s="20"/>
      <c r="J256" s="20"/>
      <c r="K256" s="20"/>
      <c r="L256" s="21"/>
    </row>
    <row r="257" customFormat="false" ht="15" hidden="false" customHeight="false" outlineLevel="0" collapsed="false">
      <c r="A257" s="20"/>
      <c r="B257" s="30"/>
      <c r="C257" s="20"/>
      <c r="D257" s="22"/>
      <c r="E257" s="20"/>
      <c r="F257" s="31" t="str">
        <f aca="false">IF($E257="","",IFERROR(INDEX('Food Library'!$B$6:$B$105,MATCH($E257,'Food Library'!$A$6:$A$105,0)),"?? code not in Library"))</f>
        <v/>
      </c>
      <c r="G257" s="32" t="str">
        <f aca="false">IF($E257="","",IFERROR(INDEX('Food Library'!$D$6:$D$105,MATCH($E257,'Food Library'!$A$6:$A$105,0)),""))</f>
        <v/>
      </c>
      <c r="H257" s="20"/>
      <c r="I257" s="20"/>
      <c r="J257" s="20"/>
      <c r="K257" s="20"/>
      <c r="L257" s="21"/>
    </row>
    <row r="258" customFormat="false" ht="15" hidden="false" customHeight="false" outlineLevel="0" collapsed="false">
      <c r="A258" s="20"/>
      <c r="B258" s="30"/>
      <c r="C258" s="20"/>
      <c r="D258" s="22"/>
      <c r="E258" s="20"/>
      <c r="F258" s="31" t="str">
        <f aca="false">IF($E258="","",IFERROR(INDEX('Food Library'!$B$6:$B$105,MATCH($E258,'Food Library'!$A$6:$A$105,0)),"?? code not in Library"))</f>
        <v/>
      </c>
      <c r="G258" s="32" t="str">
        <f aca="false">IF($E258="","",IFERROR(INDEX('Food Library'!$D$6:$D$105,MATCH($E258,'Food Library'!$A$6:$A$105,0)),""))</f>
        <v/>
      </c>
      <c r="H258" s="20"/>
      <c r="I258" s="20"/>
      <c r="J258" s="20"/>
      <c r="K258" s="20"/>
      <c r="L258" s="21"/>
    </row>
    <row r="259" customFormat="false" ht="15" hidden="false" customHeight="false" outlineLevel="0" collapsed="false">
      <c r="A259" s="20"/>
      <c r="B259" s="30"/>
      <c r="C259" s="20"/>
      <c r="D259" s="22"/>
      <c r="E259" s="20"/>
      <c r="F259" s="31" t="str">
        <f aca="false">IF($E259="","",IFERROR(INDEX('Food Library'!$B$6:$B$105,MATCH($E259,'Food Library'!$A$6:$A$105,0)),"?? code not in Library"))</f>
        <v/>
      </c>
      <c r="G259" s="32" t="str">
        <f aca="false">IF($E259="","",IFERROR(INDEX('Food Library'!$D$6:$D$105,MATCH($E259,'Food Library'!$A$6:$A$105,0)),""))</f>
        <v/>
      </c>
      <c r="H259" s="20"/>
      <c r="I259" s="20"/>
      <c r="J259" s="20"/>
      <c r="K259" s="20"/>
      <c r="L259" s="21"/>
    </row>
    <row r="260" customFormat="false" ht="15" hidden="false" customHeight="false" outlineLevel="0" collapsed="false">
      <c r="A260" s="20"/>
      <c r="B260" s="30"/>
      <c r="C260" s="20"/>
      <c r="D260" s="22"/>
      <c r="E260" s="20"/>
      <c r="F260" s="31" t="str">
        <f aca="false">IF($E260="","",IFERROR(INDEX('Food Library'!$B$6:$B$105,MATCH($E260,'Food Library'!$A$6:$A$105,0)),"?? code not in Library"))</f>
        <v/>
      </c>
      <c r="G260" s="32" t="str">
        <f aca="false">IF($E260="","",IFERROR(INDEX('Food Library'!$D$6:$D$105,MATCH($E260,'Food Library'!$A$6:$A$105,0)),""))</f>
        <v/>
      </c>
      <c r="H260" s="20"/>
      <c r="I260" s="20"/>
      <c r="J260" s="20"/>
      <c r="K260" s="20"/>
      <c r="L260" s="21"/>
    </row>
    <row r="261" customFormat="false" ht="15" hidden="false" customHeight="false" outlineLevel="0" collapsed="false">
      <c r="A261" s="20"/>
      <c r="B261" s="30"/>
      <c r="C261" s="20"/>
      <c r="D261" s="22"/>
      <c r="E261" s="20"/>
      <c r="F261" s="31" t="str">
        <f aca="false">IF($E261="","",IFERROR(INDEX('Food Library'!$B$6:$B$105,MATCH($E261,'Food Library'!$A$6:$A$105,0)),"?? code not in Library"))</f>
        <v/>
      </c>
      <c r="G261" s="32" t="str">
        <f aca="false">IF($E261="","",IFERROR(INDEX('Food Library'!$D$6:$D$105,MATCH($E261,'Food Library'!$A$6:$A$105,0)),""))</f>
        <v/>
      </c>
      <c r="H261" s="20"/>
      <c r="I261" s="20"/>
      <c r="J261" s="20"/>
      <c r="K261" s="20"/>
      <c r="L261" s="21"/>
    </row>
    <row r="262" customFormat="false" ht="15" hidden="false" customHeight="false" outlineLevel="0" collapsed="false">
      <c r="A262" s="20"/>
      <c r="B262" s="30"/>
      <c r="C262" s="20"/>
      <c r="D262" s="22"/>
      <c r="E262" s="20"/>
      <c r="F262" s="31" t="str">
        <f aca="false">IF($E262="","",IFERROR(INDEX('Food Library'!$B$6:$B$105,MATCH($E262,'Food Library'!$A$6:$A$105,0)),"?? code not in Library"))</f>
        <v/>
      </c>
      <c r="G262" s="32" t="str">
        <f aca="false">IF($E262="","",IFERROR(INDEX('Food Library'!$D$6:$D$105,MATCH($E262,'Food Library'!$A$6:$A$105,0)),""))</f>
        <v/>
      </c>
      <c r="H262" s="20"/>
      <c r="I262" s="20"/>
      <c r="J262" s="20"/>
      <c r="K262" s="20"/>
      <c r="L262" s="21"/>
    </row>
    <row r="263" customFormat="false" ht="15" hidden="false" customHeight="false" outlineLevel="0" collapsed="false">
      <c r="A263" s="20"/>
      <c r="B263" s="30"/>
      <c r="C263" s="20"/>
      <c r="D263" s="22"/>
      <c r="E263" s="20"/>
      <c r="F263" s="31" t="str">
        <f aca="false">IF($E263="","",IFERROR(INDEX('Food Library'!$B$6:$B$105,MATCH($E263,'Food Library'!$A$6:$A$105,0)),"?? code not in Library"))</f>
        <v/>
      </c>
      <c r="G263" s="32" t="str">
        <f aca="false">IF($E263="","",IFERROR(INDEX('Food Library'!$D$6:$D$105,MATCH($E263,'Food Library'!$A$6:$A$105,0)),""))</f>
        <v/>
      </c>
      <c r="H263" s="20"/>
      <c r="I263" s="20"/>
      <c r="J263" s="20"/>
      <c r="K263" s="20"/>
      <c r="L263" s="21"/>
    </row>
    <row r="264" customFormat="false" ht="15" hidden="false" customHeight="false" outlineLevel="0" collapsed="false">
      <c r="A264" s="20"/>
      <c r="B264" s="30"/>
      <c r="C264" s="20"/>
      <c r="D264" s="22"/>
      <c r="E264" s="20"/>
      <c r="F264" s="31" t="str">
        <f aca="false">IF($E264="","",IFERROR(INDEX('Food Library'!$B$6:$B$105,MATCH($E264,'Food Library'!$A$6:$A$105,0)),"?? code not in Library"))</f>
        <v/>
      </c>
      <c r="G264" s="32" t="str">
        <f aca="false">IF($E264="","",IFERROR(INDEX('Food Library'!$D$6:$D$105,MATCH($E264,'Food Library'!$A$6:$A$105,0)),""))</f>
        <v/>
      </c>
      <c r="H264" s="20"/>
      <c r="I264" s="20"/>
      <c r="J264" s="20"/>
      <c r="K264" s="20"/>
      <c r="L264" s="21"/>
    </row>
    <row r="265" customFormat="false" ht="15" hidden="false" customHeight="false" outlineLevel="0" collapsed="false">
      <c r="A265" s="20"/>
      <c r="B265" s="30"/>
      <c r="C265" s="20"/>
      <c r="D265" s="22"/>
      <c r="E265" s="20"/>
      <c r="F265" s="31" t="str">
        <f aca="false">IF($E265="","",IFERROR(INDEX('Food Library'!$B$6:$B$105,MATCH($E265,'Food Library'!$A$6:$A$105,0)),"?? code not in Library"))</f>
        <v/>
      </c>
      <c r="G265" s="32" t="str">
        <f aca="false">IF($E265="","",IFERROR(INDEX('Food Library'!$D$6:$D$105,MATCH($E265,'Food Library'!$A$6:$A$105,0)),""))</f>
        <v/>
      </c>
      <c r="H265" s="20"/>
      <c r="I265" s="20"/>
      <c r="J265" s="20"/>
      <c r="K265" s="20"/>
      <c r="L265" s="21"/>
    </row>
    <row r="266" customFormat="false" ht="15" hidden="false" customHeight="false" outlineLevel="0" collapsed="false">
      <c r="A266" s="20"/>
      <c r="B266" s="30"/>
      <c r="C266" s="20"/>
      <c r="D266" s="22"/>
      <c r="E266" s="20"/>
      <c r="F266" s="31" t="str">
        <f aca="false">IF($E266="","",IFERROR(INDEX('Food Library'!$B$6:$B$105,MATCH($E266,'Food Library'!$A$6:$A$105,0)),"?? code not in Library"))</f>
        <v/>
      </c>
      <c r="G266" s="32" t="str">
        <f aca="false">IF($E266="","",IFERROR(INDEX('Food Library'!$D$6:$D$105,MATCH($E266,'Food Library'!$A$6:$A$105,0)),""))</f>
        <v/>
      </c>
      <c r="H266" s="20"/>
      <c r="I266" s="20"/>
      <c r="J266" s="20"/>
      <c r="K266" s="20"/>
      <c r="L266" s="21"/>
    </row>
    <row r="267" customFormat="false" ht="15" hidden="false" customHeight="false" outlineLevel="0" collapsed="false">
      <c r="A267" s="20"/>
      <c r="B267" s="30"/>
      <c r="C267" s="20"/>
      <c r="D267" s="22"/>
      <c r="E267" s="20"/>
      <c r="F267" s="31" t="str">
        <f aca="false">IF($E267="","",IFERROR(INDEX('Food Library'!$B$6:$B$105,MATCH($E267,'Food Library'!$A$6:$A$105,0)),"?? code not in Library"))</f>
        <v/>
      </c>
      <c r="G267" s="32" t="str">
        <f aca="false">IF($E267="","",IFERROR(INDEX('Food Library'!$D$6:$D$105,MATCH($E267,'Food Library'!$A$6:$A$105,0)),""))</f>
        <v/>
      </c>
      <c r="H267" s="20"/>
      <c r="I267" s="20"/>
      <c r="J267" s="20"/>
      <c r="K267" s="20"/>
      <c r="L267" s="21"/>
    </row>
    <row r="268" customFormat="false" ht="15" hidden="false" customHeight="false" outlineLevel="0" collapsed="false">
      <c r="A268" s="20"/>
      <c r="B268" s="30"/>
      <c r="C268" s="20"/>
      <c r="D268" s="22"/>
      <c r="E268" s="20"/>
      <c r="F268" s="31" t="str">
        <f aca="false">IF($E268="","",IFERROR(INDEX('Food Library'!$B$6:$B$105,MATCH($E268,'Food Library'!$A$6:$A$105,0)),"?? code not in Library"))</f>
        <v/>
      </c>
      <c r="G268" s="32" t="str">
        <f aca="false">IF($E268="","",IFERROR(INDEX('Food Library'!$D$6:$D$105,MATCH($E268,'Food Library'!$A$6:$A$105,0)),""))</f>
        <v/>
      </c>
      <c r="H268" s="20"/>
      <c r="I268" s="20"/>
      <c r="J268" s="20"/>
      <c r="K268" s="20"/>
      <c r="L268" s="21"/>
    </row>
    <row r="269" customFormat="false" ht="15" hidden="false" customHeight="false" outlineLevel="0" collapsed="false">
      <c r="A269" s="20"/>
      <c r="B269" s="30"/>
      <c r="C269" s="20"/>
      <c r="D269" s="22"/>
      <c r="E269" s="20"/>
      <c r="F269" s="31" t="str">
        <f aca="false">IF($E269="","",IFERROR(INDEX('Food Library'!$B$6:$B$105,MATCH($E269,'Food Library'!$A$6:$A$105,0)),"?? code not in Library"))</f>
        <v/>
      </c>
      <c r="G269" s="32" t="str">
        <f aca="false">IF($E269="","",IFERROR(INDEX('Food Library'!$D$6:$D$105,MATCH($E269,'Food Library'!$A$6:$A$105,0)),""))</f>
        <v/>
      </c>
      <c r="H269" s="20"/>
      <c r="I269" s="20"/>
      <c r="J269" s="20"/>
      <c r="K269" s="20"/>
      <c r="L269" s="21"/>
    </row>
    <row r="270" customFormat="false" ht="15" hidden="false" customHeight="false" outlineLevel="0" collapsed="false">
      <c r="A270" s="20"/>
      <c r="B270" s="30"/>
      <c r="C270" s="20"/>
      <c r="D270" s="22"/>
      <c r="E270" s="20"/>
      <c r="F270" s="31" t="str">
        <f aca="false">IF($E270="","",IFERROR(INDEX('Food Library'!$B$6:$B$105,MATCH($E270,'Food Library'!$A$6:$A$105,0)),"?? code not in Library"))</f>
        <v/>
      </c>
      <c r="G270" s="32" t="str">
        <f aca="false">IF($E270="","",IFERROR(INDEX('Food Library'!$D$6:$D$105,MATCH($E270,'Food Library'!$A$6:$A$105,0)),""))</f>
        <v/>
      </c>
      <c r="H270" s="20"/>
      <c r="I270" s="20"/>
      <c r="J270" s="20"/>
      <c r="K270" s="20"/>
      <c r="L270" s="21"/>
    </row>
    <row r="271" customFormat="false" ht="15" hidden="false" customHeight="false" outlineLevel="0" collapsed="false">
      <c r="A271" s="20"/>
      <c r="B271" s="30"/>
      <c r="C271" s="20"/>
      <c r="D271" s="22"/>
      <c r="E271" s="20"/>
      <c r="F271" s="31" t="str">
        <f aca="false">IF($E271="","",IFERROR(INDEX('Food Library'!$B$6:$B$105,MATCH($E271,'Food Library'!$A$6:$A$105,0)),"?? code not in Library"))</f>
        <v/>
      </c>
      <c r="G271" s="32" t="str">
        <f aca="false">IF($E271="","",IFERROR(INDEX('Food Library'!$D$6:$D$105,MATCH($E271,'Food Library'!$A$6:$A$105,0)),""))</f>
        <v/>
      </c>
      <c r="H271" s="20"/>
      <c r="I271" s="20"/>
      <c r="J271" s="20"/>
      <c r="K271" s="20"/>
      <c r="L271" s="21"/>
    </row>
    <row r="272" customFormat="false" ht="15" hidden="false" customHeight="false" outlineLevel="0" collapsed="false">
      <c r="A272" s="20"/>
      <c r="B272" s="30"/>
      <c r="C272" s="20"/>
      <c r="D272" s="22"/>
      <c r="E272" s="20"/>
      <c r="F272" s="31" t="str">
        <f aca="false">IF($E272="","",IFERROR(INDEX('Food Library'!$B$6:$B$105,MATCH($E272,'Food Library'!$A$6:$A$105,0)),"?? code not in Library"))</f>
        <v/>
      </c>
      <c r="G272" s="32" t="str">
        <f aca="false">IF($E272="","",IFERROR(INDEX('Food Library'!$D$6:$D$105,MATCH($E272,'Food Library'!$A$6:$A$105,0)),""))</f>
        <v/>
      </c>
      <c r="H272" s="20"/>
      <c r="I272" s="20"/>
      <c r="J272" s="20"/>
      <c r="K272" s="20"/>
      <c r="L272" s="21"/>
    </row>
    <row r="273" customFormat="false" ht="15" hidden="false" customHeight="false" outlineLevel="0" collapsed="false">
      <c r="A273" s="20"/>
      <c r="B273" s="30"/>
      <c r="C273" s="20"/>
      <c r="D273" s="22"/>
      <c r="E273" s="20"/>
      <c r="F273" s="31" t="str">
        <f aca="false">IF($E273="","",IFERROR(INDEX('Food Library'!$B$6:$B$105,MATCH($E273,'Food Library'!$A$6:$A$105,0)),"?? code not in Library"))</f>
        <v/>
      </c>
      <c r="G273" s="32" t="str">
        <f aca="false">IF($E273="","",IFERROR(INDEX('Food Library'!$D$6:$D$105,MATCH($E273,'Food Library'!$A$6:$A$105,0)),""))</f>
        <v/>
      </c>
      <c r="H273" s="20"/>
      <c r="I273" s="20"/>
      <c r="J273" s="20"/>
      <c r="K273" s="20"/>
      <c r="L273" s="21"/>
    </row>
    <row r="274" customFormat="false" ht="15" hidden="false" customHeight="false" outlineLevel="0" collapsed="false">
      <c r="A274" s="20"/>
      <c r="B274" s="30"/>
      <c r="C274" s="20"/>
      <c r="D274" s="22"/>
      <c r="E274" s="20"/>
      <c r="F274" s="31" t="str">
        <f aca="false">IF($E274="","",IFERROR(INDEX('Food Library'!$B$6:$B$105,MATCH($E274,'Food Library'!$A$6:$A$105,0)),"?? code not in Library"))</f>
        <v/>
      </c>
      <c r="G274" s="32" t="str">
        <f aca="false">IF($E274="","",IFERROR(INDEX('Food Library'!$D$6:$D$105,MATCH($E274,'Food Library'!$A$6:$A$105,0)),""))</f>
        <v/>
      </c>
      <c r="H274" s="20"/>
      <c r="I274" s="20"/>
      <c r="J274" s="20"/>
      <c r="K274" s="20"/>
      <c r="L274" s="21"/>
    </row>
    <row r="275" customFormat="false" ht="15" hidden="false" customHeight="false" outlineLevel="0" collapsed="false">
      <c r="A275" s="20"/>
      <c r="B275" s="30"/>
      <c r="C275" s="20"/>
      <c r="D275" s="22"/>
      <c r="E275" s="20"/>
      <c r="F275" s="31" t="str">
        <f aca="false">IF($E275="","",IFERROR(INDEX('Food Library'!$B$6:$B$105,MATCH($E275,'Food Library'!$A$6:$A$105,0)),"?? code not in Library"))</f>
        <v/>
      </c>
      <c r="G275" s="32" t="str">
        <f aca="false">IF($E275="","",IFERROR(INDEX('Food Library'!$D$6:$D$105,MATCH($E275,'Food Library'!$A$6:$A$105,0)),""))</f>
        <v/>
      </c>
      <c r="H275" s="20"/>
      <c r="I275" s="20"/>
      <c r="J275" s="20"/>
      <c r="K275" s="20"/>
      <c r="L275" s="21"/>
    </row>
    <row r="276" customFormat="false" ht="15" hidden="false" customHeight="false" outlineLevel="0" collapsed="false">
      <c r="A276" s="20"/>
      <c r="B276" s="30"/>
      <c r="C276" s="20"/>
      <c r="D276" s="22"/>
      <c r="E276" s="20"/>
      <c r="F276" s="31" t="str">
        <f aca="false">IF($E276="","",IFERROR(INDEX('Food Library'!$B$6:$B$105,MATCH($E276,'Food Library'!$A$6:$A$105,0)),"?? code not in Library"))</f>
        <v/>
      </c>
      <c r="G276" s="32" t="str">
        <f aca="false">IF($E276="","",IFERROR(INDEX('Food Library'!$D$6:$D$105,MATCH($E276,'Food Library'!$A$6:$A$105,0)),""))</f>
        <v/>
      </c>
      <c r="H276" s="20"/>
      <c r="I276" s="20"/>
      <c r="J276" s="20"/>
      <c r="K276" s="20"/>
      <c r="L276" s="21"/>
    </row>
    <row r="277" customFormat="false" ht="15" hidden="false" customHeight="false" outlineLevel="0" collapsed="false">
      <c r="A277" s="20"/>
      <c r="B277" s="30"/>
      <c r="C277" s="20"/>
      <c r="D277" s="22"/>
      <c r="E277" s="20"/>
      <c r="F277" s="31" t="str">
        <f aca="false">IF($E277="","",IFERROR(INDEX('Food Library'!$B$6:$B$105,MATCH($E277,'Food Library'!$A$6:$A$105,0)),"?? code not in Library"))</f>
        <v/>
      </c>
      <c r="G277" s="32" t="str">
        <f aca="false">IF($E277="","",IFERROR(INDEX('Food Library'!$D$6:$D$105,MATCH($E277,'Food Library'!$A$6:$A$105,0)),""))</f>
        <v/>
      </c>
      <c r="H277" s="20"/>
      <c r="I277" s="20"/>
      <c r="J277" s="20"/>
      <c r="K277" s="20"/>
      <c r="L277" s="21"/>
    </row>
    <row r="278" customFormat="false" ht="15" hidden="false" customHeight="false" outlineLevel="0" collapsed="false">
      <c r="A278" s="20"/>
      <c r="B278" s="30"/>
      <c r="C278" s="20"/>
      <c r="D278" s="22"/>
      <c r="E278" s="20"/>
      <c r="F278" s="31" t="str">
        <f aca="false">IF($E278="","",IFERROR(INDEX('Food Library'!$B$6:$B$105,MATCH($E278,'Food Library'!$A$6:$A$105,0)),"?? code not in Library"))</f>
        <v/>
      </c>
      <c r="G278" s="32" t="str">
        <f aca="false">IF($E278="","",IFERROR(INDEX('Food Library'!$D$6:$D$105,MATCH($E278,'Food Library'!$A$6:$A$105,0)),""))</f>
        <v/>
      </c>
      <c r="H278" s="20"/>
      <c r="I278" s="20"/>
      <c r="J278" s="20"/>
      <c r="K278" s="20"/>
      <c r="L278" s="21"/>
    </row>
    <row r="279" customFormat="false" ht="15" hidden="false" customHeight="false" outlineLevel="0" collapsed="false">
      <c r="A279" s="20"/>
      <c r="B279" s="30"/>
      <c r="C279" s="20"/>
      <c r="D279" s="22"/>
      <c r="E279" s="20"/>
      <c r="F279" s="31" t="str">
        <f aca="false">IF($E279="","",IFERROR(INDEX('Food Library'!$B$6:$B$105,MATCH($E279,'Food Library'!$A$6:$A$105,0)),"?? code not in Library"))</f>
        <v/>
      </c>
      <c r="G279" s="32" t="str">
        <f aca="false">IF($E279="","",IFERROR(INDEX('Food Library'!$D$6:$D$105,MATCH($E279,'Food Library'!$A$6:$A$105,0)),""))</f>
        <v/>
      </c>
      <c r="H279" s="20"/>
      <c r="I279" s="20"/>
      <c r="J279" s="20"/>
      <c r="K279" s="20"/>
      <c r="L279" s="21"/>
    </row>
    <row r="280" customFormat="false" ht="15" hidden="false" customHeight="false" outlineLevel="0" collapsed="false">
      <c r="A280" s="20"/>
      <c r="B280" s="30"/>
      <c r="C280" s="20"/>
      <c r="D280" s="22"/>
      <c r="E280" s="20"/>
      <c r="F280" s="31" t="str">
        <f aca="false">IF($E280="","",IFERROR(INDEX('Food Library'!$B$6:$B$105,MATCH($E280,'Food Library'!$A$6:$A$105,0)),"?? code not in Library"))</f>
        <v/>
      </c>
      <c r="G280" s="32" t="str">
        <f aca="false">IF($E280="","",IFERROR(INDEX('Food Library'!$D$6:$D$105,MATCH($E280,'Food Library'!$A$6:$A$105,0)),""))</f>
        <v/>
      </c>
      <c r="H280" s="20"/>
      <c r="I280" s="20"/>
      <c r="J280" s="20"/>
      <c r="K280" s="20"/>
      <c r="L280" s="21"/>
    </row>
    <row r="281" customFormat="false" ht="15" hidden="false" customHeight="false" outlineLevel="0" collapsed="false">
      <c r="A281" s="20"/>
      <c r="B281" s="30"/>
      <c r="C281" s="20"/>
      <c r="D281" s="22"/>
      <c r="E281" s="20"/>
      <c r="F281" s="31" t="str">
        <f aca="false">IF($E281="","",IFERROR(INDEX('Food Library'!$B$6:$B$105,MATCH($E281,'Food Library'!$A$6:$A$105,0)),"?? code not in Library"))</f>
        <v/>
      </c>
      <c r="G281" s="32" t="str">
        <f aca="false">IF($E281="","",IFERROR(INDEX('Food Library'!$D$6:$D$105,MATCH($E281,'Food Library'!$A$6:$A$105,0)),""))</f>
        <v/>
      </c>
      <c r="H281" s="20"/>
      <c r="I281" s="20"/>
      <c r="J281" s="20"/>
      <c r="K281" s="20"/>
      <c r="L281" s="21"/>
    </row>
    <row r="282" customFormat="false" ht="15" hidden="false" customHeight="false" outlineLevel="0" collapsed="false">
      <c r="A282" s="20"/>
      <c r="B282" s="30"/>
      <c r="C282" s="20"/>
      <c r="D282" s="22"/>
      <c r="E282" s="20"/>
      <c r="F282" s="31" t="str">
        <f aca="false">IF($E282="","",IFERROR(INDEX('Food Library'!$B$6:$B$105,MATCH($E282,'Food Library'!$A$6:$A$105,0)),"?? code not in Library"))</f>
        <v/>
      </c>
      <c r="G282" s="32" t="str">
        <f aca="false">IF($E282="","",IFERROR(INDEX('Food Library'!$D$6:$D$105,MATCH($E282,'Food Library'!$A$6:$A$105,0)),""))</f>
        <v/>
      </c>
      <c r="H282" s="20"/>
      <c r="I282" s="20"/>
      <c r="J282" s="20"/>
      <c r="K282" s="20"/>
      <c r="L282" s="21"/>
    </row>
    <row r="283" customFormat="false" ht="15" hidden="false" customHeight="false" outlineLevel="0" collapsed="false">
      <c r="A283" s="20"/>
      <c r="B283" s="30"/>
      <c r="C283" s="20"/>
      <c r="D283" s="22"/>
      <c r="E283" s="20"/>
      <c r="F283" s="31" t="str">
        <f aca="false">IF($E283="","",IFERROR(INDEX('Food Library'!$B$6:$B$105,MATCH($E283,'Food Library'!$A$6:$A$105,0)),"?? code not in Library"))</f>
        <v/>
      </c>
      <c r="G283" s="32" t="str">
        <f aca="false">IF($E283="","",IFERROR(INDEX('Food Library'!$D$6:$D$105,MATCH($E283,'Food Library'!$A$6:$A$105,0)),""))</f>
        <v/>
      </c>
      <c r="H283" s="20"/>
      <c r="I283" s="20"/>
      <c r="J283" s="20"/>
      <c r="K283" s="20"/>
      <c r="L283" s="21"/>
    </row>
    <row r="284" customFormat="false" ht="15" hidden="false" customHeight="false" outlineLevel="0" collapsed="false">
      <c r="A284" s="20"/>
      <c r="B284" s="30"/>
      <c r="C284" s="20"/>
      <c r="D284" s="22"/>
      <c r="E284" s="20"/>
      <c r="F284" s="31" t="str">
        <f aca="false">IF($E284="","",IFERROR(INDEX('Food Library'!$B$6:$B$105,MATCH($E284,'Food Library'!$A$6:$A$105,0)),"?? code not in Library"))</f>
        <v/>
      </c>
      <c r="G284" s="32" t="str">
        <f aca="false">IF($E284="","",IFERROR(INDEX('Food Library'!$D$6:$D$105,MATCH($E284,'Food Library'!$A$6:$A$105,0)),""))</f>
        <v/>
      </c>
      <c r="H284" s="20"/>
      <c r="I284" s="20"/>
      <c r="J284" s="20"/>
      <c r="K284" s="20"/>
      <c r="L284" s="21"/>
    </row>
    <row r="285" customFormat="false" ht="15" hidden="false" customHeight="false" outlineLevel="0" collapsed="false">
      <c r="A285" s="20"/>
      <c r="B285" s="30"/>
      <c r="C285" s="20"/>
      <c r="D285" s="22"/>
      <c r="E285" s="20"/>
      <c r="F285" s="31" t="str">
        <f aca="false">IF($E285="","",IFERROR(INDEX('Food Library'!$B$6:$B$105,MATCH($E285,'Food Library'!$A$6:$A$105,0)),"?? code not in Library"))</f>
        <v/>
      </c>
      <c r="G285" s="32" t="str">
        <f aca="false">IF($E285="","",IFERROR(INDEX('Food Library'!$D$6:$D$105,MATCH($E285,'Food Library'!$A$6:$A$105,0)),""))</f>
        <v/>
      </c>
      <c r="H285" s="20"/>
      <c r="I285" s="20"/>
      <c r="J285" s="20"/>
      <c r="K285" s="20"/>
      <c r="L285" s="21"/>
    </row>
    <row r="286" customFormat="false" ht="15" hidden="false" customHeight="false" outlineLevel="0" collapsed="false">
      <c r="A286" s="20"/>
      <c r="B286" s="30"/>
      <c r="C286" s="20"/>
      <c r="D286" s="22"/>
      <c r="E286" s="20"/>
      <c r="F286" s="31" t="str">
        <f aca="false">IF($E286="","",IFERROR(INDEX('Food Library'!$B$6:$B$105,MATCH($E286,'Food Library'!$A$6:$A$105,0)),"?? code not in Library"))</f>
        <v/>
      </c>
      <c r="G286" s="32" t="str">
        <f aca="false">IF($E286="","",IFERROR(INDEX('Food Library'!$D$6:$D$105,MATCH($E286,'Food Library'!$A$6:$A$105,0)),""))</f>
        <v/>
      </c>
      <c r="H286" s="20"/>
      <c r="I286" s="20"/>
      <c r="J286" s="20"/>
      <c r="K286" s="20"/>
      <c r="L286" s="21"/>
    </row>
    <row r="287" customFormat="false" ht="15" hidden="false" customHeight="false" outlineLevel="0" collapsed="false">
      <c r="A287" s="20"/>
      <c r="B287" s="30"/>
      <c r="C287" s="20"/>
      <c r="D287" s="22"/>
      <c r="E287" s="20"/>
      <c r="F287" s="31" t="str">
        <f aca="false">IF($E287="","",IFERROR(INDEX('Food Library'!$B$6:$B$105,MATCH($E287,'Food Library'!$A$6:$A$105,0)),"?? code not in Library"))</f>
        <v/>
      </c>
      <c r="G287" s="32" t="str">
        <f aca="false">IF($E287="","",IFERROR(INDEX('Food Library'!$D$6:$D$105,MATCH($E287,'Food Library'!$A$6:$A$105,0)),""))</f>
        <v/>
      </c>
      <c r="H287" s="20"/>
      <c r="I287" s="20"/>
      <c r="J287" s="20"/>
      <c r="K287" s="20"/>
      <c r="L287" s="21"/>
    </row>
    <row r="288" customFormat="false" ht="15" hidden="false" customHeight="false" outlineLevel="0" collapsed="false">
      <c r="A288" s="20"/>
      <c r="B288" s="30"/>
      <c r="C288" s="20"/>
      <c r="D288" s="22"/>
      <c r="E288" s="20"/>
      <c r="F288" s="31" t="str">
        <f aca="false">IF($E288="","",IFERROR(INDEX('Food Library'!$B$6:$B$105,MATCH($E288,'Food Library'!$A$6:$A$105,0)),"?? code not in Library"))</f>
        <v/>
      </c>
      <c r="G288" s="32" t="str">
        <f aca="false">IF($E288="","",IFERROR(INDEX('Food Library'!$D$6:$D$105,MATCH($E288,'Food Library'!$A$6:$A$105,0)),""))</f>
        <v/>
      </c>
      <c r="H288" s="20"/>
      <c r="I288" s="20"/>
      <c r="J288" s="20"/>
      <c r="K288" s="20"/>
      <c r="L288" s="21"/>
    </row>
    <row r="289" customFormat="false" ht="15" hidden="false" customHeight="false" outlineLevel="0" collapsed="false">
      <c r="A289" s="20"/>
      <c r="B289" s="30"/>
      <c r="C289" s="20"/>
      <c r="D289" s="22"/>
      <c r="E289" s="20"/>
      <c r="F289" s="31" t="str">
        <f aca="false">IF($E289="","",IFERROR(INDEX('Food Library'!$B$6:$B$105,MATCH($E289,'Food Library'!$A$6:$A$105,0)),"?? code not in Library"))</f>
        <v/>
      </c>
      <c r="G289" s="32" t="str">
        <f aca="false">IF($E289="","",IFERROR(INDEX('Food Library'!$D$6:$D$105,MATCH($E289,'Food Library'!$A$6:$A$105,0)),""))</f>
        <v/>
      </c>
      <c r="H289" s="20"/>
      <c r="I289" s="20"/>
      <c r="J289" s="20"/>
      <c r="K289" s="20"/>
      <c r="L289" s="21"/>
    </row>
    <row r="290" customFormat="false" ht="15" hidden="false" customHeight="false" outlineLevel="0" collapsed="false">
      <c r="A290" s="20"/>
      <c r="B290" s="30"/>
      <c r="C290" s="20"/>
      <c r="D290" s="22"/>
      <c r="E290" s="20"/>
      <c r="F290" s="31" t="str">
        <f aca="false">IF($E290="","",IFERROR(INDEX('Food Library'!$B$6:$B$105,MATCH($E290,'Food Library'!$A$6:$A$105,0)),"?? code not in Library"))</f>
        <v/>
      </c>
      <c r="G290" s="32" t="str">
        <f aca="false">IF($E290="","",IFERROR(INDEX('Food Library'!$D$6:$D$105,MATCH($E290,'Food Library'!$A$6:$A$105,0)),""))</f>
        <v/>
      </c>
      <c r="H290" s="20"/>
      <c r="I290" s="20"/>
      <c r="J290" s="20"/>
      <c r="K290" s="20"/>
      <c r="L290" s="21"/>
    </row>
    <row r="291" customFormat="false" ht="15" hidden="false" customHeight="false" outlineLevel="0" collapsed="false">
      <c r="A291" s="20"/>
      <c r="B291" s="30"/>
      <c r="C291" s="20"/>
      <c r="D291" s="22"/>
      <c r="E291" s="20"/>
      <c r="F291" s="31" t="str">
        <f aca="false">IF($E291="","",IFERROR(INDEX('Food Library'!$B$6:$B$105,MATCH($E291,'Food Library'!$A$6:$A$105,0)),"?? code not in Library"))</f>
        <v/>
      </c>
      <c r="G291" s="32" t="str">
        <f aca="false">IF($E291="","",IFERROR(INDEX('Food Library'!$D$6:$D$105,MATCH($E291,'Food Library'!$A$6:$A$105,0)),""))</f>
        <v/>
      </c>
      <c r="H291" s="20"/>
      <c r="I291" s="20"/>
      <c r="J291" s="20"/>
      <c r="K291" s="20"/>
      <c r="L291" s="21"/>
    </row>
    <row r="292" customFormat="false" ht="15" hidden="false" customHeight="false" outlineLevel="0" collapsed="false">
      <c r="A292" s="20"/>
      <c r="B292" s="30"/>
      <c r="C292" s="20"/>
      <c r="D292" s="22"/>
      <c r="E292" s="20"/>
      <c r="F292" s="31" t="str">
        <f aca="false">IF($E292="","",IFERROR(INDEX('Food Library'!$B$6:$B$105,MATCH($E292,'Food Library'!$A$6:$A$105,0)),"?? code not in Library"))</f>
        <v/>
      </c>
      <c r="G292" s="32" t="str">
        <f aca="false">IF($E292="","",IFERROR(INDEX('Food Library'!$D$6:$D$105,MATCH($E292,'Food Library'!$A$6:$A$105,0)),""))</f>
        <v/>
      </c>
      <c r="H292" s="20"/>
      <c r="I292" s="20"/>
      <c r="J292" s="20"/>
      <c r="K292" s="20"/>
      <c r="L292" s="21"/>
    </row>
    <row r="293" customFormat="false" ht="15" hidden="false" customHeight="false" outlineLevel="0" collapsed="false">
      <c r="A293" s="20"/>
      <c r="B293" s="30"/>
      <c r="C293" s="20"/>
      <c r="D293" s="22"/>
      <c r="E293" s="20"/>
      <c r="F293" s="31" t="str">
        <f aca="false">IF($E293="","",IFERROR(INDEX('Food Library'!$B$6:$B$105,MATCH($E293,'Food Library'!$A$6:$A$105,0)),"?? code not in Library"))</f>
        <v/>
      </c>
      <c r="G293" s="32" t="str">
        <f aca="false">IF($E293="","",IFERROR(INDEX('Food Library'!$D$6:$D$105,MATCH($E293,'Food Library'!$A$6:$A$105,0)),""))</f>
        <v/>
      </c>
      <c r="H293" s="20"/>
      <c r="I293" s="20"/>
      <c r="J293" s="20"/>
      <c r="K293" s="20"/>
      <c r="L293" s="21"/>
    </row>
    <row r="294" customFormat="false" ht="15" hidden="false" customHeight="false" outlineLevel="0" collapsed="false">
      <c r="A294" s="20"/>
      <c r="B294" s="30"/>
      <c r="C294" s="20"/>
      <c r="D294" s="22"/>
      <c r="E294" s="20"/>
      <c r="F294" s="31" t="str">
        <f aca="false">IF($E294="","",IFERROR(INDEX('Food Library'!$B$6:$B$105,MATCH($E294,'Food Library'!$A$6:$A$105,0)),"?? code not in Library"))</f>
        <v/>
      </c>
      <c r="G294" s="32" t="str">
        <f aca="false">IF($E294="","",IFERROR(INDEX('Food Library'!$D$6:$D$105,MATCH($E294,'Food Library'!$A$6:$A$105,0)),""))</f>
        <v/>
      </c>
      <c r="H294" s="20"/>
      <c r="I294" s="20"/>
      <c r="J294" s="20"/>
      <c r="K294" s="20"/>
      <c r="L294" s="21"/>
    </row>
    <row r="295" customFormat="false" ht="15" hidden="false" customHeight="false" outlineLevel="0" collapsed="false">
      <c r="A295" s="20"/>
      <c r="B295" s="30"/>
      <c r="C295" s="20"/>
      <c r="D295" s="22"/>
      <c r="E295" s="20"/>
      <c r="F295" s="31" t="str">
        <f aca="false">IF($E295="","",IFERROR(INDEX('Food Library'!$B$6:$B$105,MATCH($E295,'Food Library'!$A$6:$A$105,0)),"?? code not in Library"))</f>
        <v/>
      </c>
      <c r="G295" s="32" t="str">
        <f aca="false">IF($E295="","",IFERROR(INDEX('Food Library'!$D$6:$D$105,MATCH($E295,'Food Library'!$A$6:$A$105,0)),""))</f>
        <v/>
      </c>
      <c r="H295" s="20"/>
      <c r="I295" s="20"/>
      <c r="J295" s="20"/>
      <c r="K295" s="20"/>
      <c r="L295" s="21"/>
    </row>
    <row r="296" customFormat="false" ht="15" hidden="false" customHeight="false" outlineLevel="0" collapsed="false">
      <c r="A296" s="20"/>
      <c r="B296" s="30"/>
      <c r="C296" s="20"/>
      <c r="D296" s="22"/>
      <c r="E296" s="20"/>
      <c r="F296" s="31" t="str">
        <f aca="false">IF($E296="","",IFERROR(INDEX('Food Library'!$B$6:$B$105,MATCH($E296,'Food Library'!$A$6:$A$105,0)),"?? code not in Library"))</f>
        <v/>
      </c>
      <c r="G296" s="32" t="str">
        <f aca="false">IF($E296="","",IFERROR(INDEX('Food Library'!$D$6:$D$105,MATCH($E296,'Food Library'!$A$6:$A$105,0)),""))</f>
        <v/>
      </c>
      <c r="H296" s="20"/>
      <c r="I296" s="20"/>
      <c r="J296" s="20"/>
      <c r="K296" s="20"/>
      <c r="L296" s="21"/>
    </row>
    <row r="297" customFormat="false" ht="15" hidden="false" customHeight="false" outlineLevel="0" collapsed="false">
      <c r="A297" s="20"/>
      <c r="B297" s="30"/>
      <c r="C297" s="20"/>
      <c r="D297" s="22"/>
      <c r="E297" s="20"/>
      <c r="F297" s="31" t="str">
        <f aca="false">IF($E297="","",IFERROR(INDEX('Food Library'!$B$6:$B$105,MATCH($E297,'Food Library'!$A$6:$A$105,0)),"?? code not in Library"))</f>
        <v/>
      </c>
      <c r="G297" s="32" t="str">
        <f aca="false">IF($E297="","",IFERROR(INDEX('Food Library'!$D$6:$D$105,MATCH($E297,'Food Library'!$A$6:$A$105,0)),""))</f>
        <v/>
      </c>
      <c r="H297" s="20"/>
      <c r="I297" s="20"/>
      <c r="J297" s="20"/>
      <c r="K297" s="20"/>
      <c r="L297" s="21"/>
    </row>
    <row r="298" customFormat="false" ht="15" hidden="false" customHeight="false" outlineLevel="0" collapsed="false">
      <c r="A298" s="20"/>
      <c r="B298" s="30"/>
      <c r="C298" s="20"/>
      <c r="D298" s="22"/>
      <c r="E298" s="20"/>
      <c r="F298" s="31" t="str">
        <f aca="false">IF($E298="","",IFERROR(INDEX('Food Library'!$B$6:$B$105,MATCH($E298,'Food Library'!$A$6:$A$105,0)),"?? code not in Library"))</f>
        <v/>
      </c>
      <c r="G298" s="32" t="str">
        <f aca="false">IF($E298="","",IFERROR(INDEX('Food Library'!$D$6:$D$105,MATCH($E298,'Food Library'!$A$6:$A$105,0)),""))</f>
        <v/>
      </c>
      <c r="H298" s="20"/>
      <c r="I298" s="20"/>
      <c r="J298" s="20"/>
      <c r="K298" s="20"/>
      <c r="L298" s="21"/>
    </row>
    <row r="299" customFormat="false" ht="15" hidden="false" customHeight="false" outlineLevel="0" collapsed="false">
      <c r="A299" s="20"/>
      <c r="B299" s="30"/>
      <c r="C299" s="20"/>
      <c r="D299" s="22"/>
      <c r="E299" s="20"/>
      <c r="F299" s="31" t="str">
        <f aca="false">IF($E299="","",IFERROR(INDEX('Food Library'!$B$6:$B$105,MATCH($E299,'Food Library'!$A$6:$A$105,0)),"?? code not in Library"))</f>
        <v/>
      </c>
      <c r="G299" s="32" t="str">
        <f aca="false">IF($E299="","",IFERROR(INDEX('Food Library'!$D$6:$D$105,MATCH($E299,'Food Library'!$A$6:$A$105,0)),""))</f>
        <v/>
      </c>
      <c r="H299" s="20"/>
      <c r="I299" s="20"/>
      <c r="J299" s="20"/>
      <c r="K299" s="20"/>
      <c r="L299" s="21"/>
    </row>
    <row r="300" customFormat="false" ht="15" hidden="false" customHeight="false" outlineLevel="0" collapsed="false">
      <c r="A300" s="20"/>
      <c r="B300" s="30"/>
      <c r="C300" s="20"/>
      <c r="D300" s="22"/>
      <c r="E300" s="20"/>
      <c r="F300" s="31" t="str">
        <f aca="false">IF($E300="","",IFERROR(INDEX('Food Library'!$B$6:$B$105,MATCH($E300,'Food Library'!$A$6:$A$105,0)),"?? code not in Library"))</f>
        <v/>
      </c>
      <c r="G300" s="32" t="str">
        <f aca="false">IF($E300="","",IFERROR(INDEX('Food Library'!$D$6:$D$105,MATCH($E300,'Food Library'!$A$6:$A$105,0)),""))</f>
        <v/>
      </c>
      <c r="H300" s="20"/>
      <c r="I300" s="20"/>
      <c r="J300" s="20"/>
      <c r="K300" s="20"/>
      <c r="L300" s="21"/>
    </row>
    <row r="301" customFormat="false" ht="15" hidden="false" customHeight="false" outlineLevel="0" collapsed="false">
      <c r="A301" s="20"/>
      <c r="B301" s="30"/>
      <c r="C301" s="20"/>
      <c r="D301" s="22"/>
      <c r="E301" s="20"/>
      <c r="F301" s="31" t="str">
        <f aca="false">IF($E301="","",IFERROR(INDEX('Food Library'!$B$6:$B$105,MATCH($E301,'Food Library'!$A$6:$A$105,0)),"?? code not in Library"))</f>
        <v/>
      </c>
      <c r="G301" s="32" t="str">
        <f aca="false">IF($E301="","",IFERROR(INDEX('Food Library'!$D$6:$D$105,MATCH($E301,'Food Library'!$A$6:$A$105,0)),""))</f>
        <v/>
      </c>
      <c r="H301" s="20"/>
      <c r="I301" s="20"/>
      <c r="J301" s="20"/>
      <c r="K301" s="20"/>
      <c r="L301" s="21"/>
    </row>
    <row r="302" customFormat="false" ht="15" hidden="false" customHeight="false" outlineLevel="0" collapsed="false">
      <c r="A302" s="20"/>
      <c r="B302" s="30"/>
      <c r="C302" s="20"/>
      <c r="D302" s="22"/>
      <c r="E302" s="20"/>
      <c r="F302" s="31" t="str">
        <f aca="false">IF($E302="","",IFERROR(INDEX('Food Library'!$B$6:$B$105,MATCH($E302,'Food Library'!$A$6:$A$105,0)),"?? code not in Library"))</f>
        <v/>
      </c>
      <c r="G302" s="32" t="str">
        <f aca="false">IF($E302="","",IFERROR(INDEX('Food Library'!$D$6:$D$105,MATCH($E302,'Food Library'!$A$6:$A$105,0)),""))</f>
        <v/>
      </c>
      <c r="H302" s="20"/>
      <c r="I302" s="20"/>
      <c r="J302" s="20"/>
      <c r="K302" s="20"/>
      <c r="L302" s="21"/>
    </row>
    <row r="303" customFormat="false" ht="15" hidden="false" customHeight="false" outlineLevel="0" collapsed="false">
      <c r="A303" s="20"/>
      <c r="B303" s="30"/>
      <c r="C303" s="20"/>
      <c r="D303" s="22"/>
      <c r="E303" s="20"/>
      <c r="F303" s="31" t="str">
        <f aca="false">IF($E303="","",IFERROR(INDEX('Food Library'!$B$6:$B$105,MATCH($E303,'Food Library'!$A$6:$A$105,0)),"?? code not in Library"))</f>
        <v/>
      </c>
      <c r="G303" s="32" t="str">
        <f aca="false">IF($E303="","",IFERROR(INDEX('Food Library'!$D$6:$D$105,MATCH($E303,'Food Library'!$A$6:$A$105,0)),""))</f>
        <v/>
      </c>
      <c r="H303" s="20"/>
      <c r="I303" s="20"/>
      <c r="J303" s="20"/>
      <c r="K303" s="20"/>
      <c r="L303" s="21"/>
    </row>
    <row r="304" customFormat="false" ht="15" hidden="false" customHeight="false" outlineLevel="0" collapsed="false">
      <c r="A304" s="20"/>
      <c r="B304" s="30"/>
      <c r="C304" s="20"/>
      <c r="D304" s="22"/>
      <c r="E304" s="20"/>
      <c r="F304" s="31" t="str">
        <f aca="false">IF($E304="","",IFERROR(INDEX('Food Library'!$B$6:$B$105,MATCH($E304,'Food Library'!$A$6:$A$105,0)),"?? code not in Library"))</f>
        <v/>
      </c>
      <c r="G304" s="32" t="str">
        <f aca="false">IF($E304="","",IFERROR(INDEX('Food Library'!$D$6:$D$105,MATCH($E304,'Food Library'!$A$6:$A$105,0)),""))</f>
        <v/>
      </c>
      <c r="H304" s="20"/>
      <c r="I304" s="20"/>
      <c r="J304" s="20"/>
      <c r="K304" s="20"/>
      <c r="L304" s="21"/>
    </row>
    <row r="305" customFormat="false" ht="15" hidden="false" customHeight="false" outlineLevel="0" collapsed="false">
      <c r="A305" s="20"/>
      <c r="B305" s="30"/>
      <c r="C305" s="20"/>
      <c r="D305" s="22"/>
      <c r="E305" s="20"/>
      <c r="F305" s="31" t="str">
        <f aca="false">IF($E305="","",IFERROR(INDEX('Food Library'!$B$6:$B$105,MATCH($E305,'Food Library'!$A$6:$A$105,0)),"?? code not in Library"))</f>
        <v/>
      </c>
      <c r="G305" s="32" t="str">
        <f aca="false">IF($E305="","",IFERROR(INDEX('Food Library'!$D$6:$D$105,MATCH($E305,'Food Library'!$A$6:$A$105,0)),""))</f>
        <v/>
      </c>
      <c r="H305" s="20"/>
      <c r="I305" s="20"/>
      <c r="J305" s="20"/>
      <c r="K305" s="20"/>
      <c r="L305" s="21"/>
    </row>
    <row r="306" customFormat="false" ht="15" hidden="false" customHeight="false" outlineLevel="0" collapsed="false">
      <c r="A306" s="20"/>
      <c r="B306" s="30"/>
      <c r="C306" s="20"/>
      <c r="D306" s="22"/>
      <c r="E306" s="20"/>
      <c r="F306" s="31" t="str">
        <f aca="false">IF($E306="","",IFERROR(INDEX('Food Library'!$B$6:$B$105,MATCH($E306,'Food Library'!$A$6:$A$105,0)),"?? code not in Library"))</f>
        <v/>
      </c>
      <c r="G306" s="32" t="str">
        <f aca="false">IF($E306="","",IFERROR(INDEX('Food Library'!$D$6:$D$105,MATCH($E306,'Food Library'!$A$6:$A$105,0)),""))</f>
        <v/>
      </c>
      <c r="H306" s="20"/>
      <c r="I306" s="20"/>
      <c r="J306" s="20"/>
      <c r="K306" s="20"/>
      <c r="L306" s="21"/>
    </row>
    <row r="307" customFormat="false" ht="15" hidden="false" customHeight="false" outlineLevel="0" collapsed="false">
      <c r="A307" s="20"/>
      <c r="B307" s="30"/>
      <c r="C307" s="20"/>
      <c r="D307" s="22"/>
      <c r="E307" s="20"/>
      <c r="F307" s="31" t="str">
        <f aca="false">IF($E307="","",IFERROR(INDEX('Food Library'!$B$6:$B$105,MATCH($E307,'Food Library'!$A$6:$A$105,0)),"?? code not in Library"))</f>
        <v/>
      </c>
      <c r="G307" s="32" t="str">
        <f aca="false">IF($E307="","",IFERROR(INDEX('Food Library'!$D$6:$D$105,MATCH($E307,'Food Library'!$A$6:$A$105,0)),""))</f>
        <v/>
      </c>
      <c r="H307" s="20"/>
      <c r="I307" s="20"/>
      <c r="J307" s="20"/>
      <c r="K307" s="20"/>
      <c r="L307" s="21"/>
    </row>
    <row r="308" customFormat="false" ht="15" hidden="false" customHeight="false" outlineLevel="0" collapsed="false">
      <c r="A308" s="20"/>
      <c r="B308" s="30"/>
      <c r="C308" s="20"/>
      <c r="D308" s="22"/>
      <c r="E308" s="20"/>
      <c r="F308" s="31" t="str">
        <f aca="false">IF($E308="","",IFERROR(INDEX('Food Library'!$B$6:$B$105,MATCH($E308,'Food Library'!$A$6:$A$105,0)),"?? code not in Library"))</f>
        <v/>
      </c>
      <c r="G308" s="32" t="str">
        <f aca="false">IF($E308="","",IFERROR(INDEX('Food Library'!$D$6:$D$105,MATCH($E308,'Food Library'!$A$6:$A$105,0)),""))</f>
        <v/>
      </c>
      <c r="H308" s="20"/>
      <c r="I308" s="20"/>
      <c r="J308" s="20"/>
      <c r="K308" s="20"/>
      <c r="L308" s="21"/>
    </row>
    <row r="309" customFormat="false" ht="15" hidden="false" customHeight="false" outlineLevel="0" collapsed="false">
      <c r="A309" s="20"/>
      <c r="B309" s="30"/>
      <c r="C309" s="20"/>
      <c r="D309" s="22"/>
      <c r="E309" s="20"/>
      <c r="F309" s="31" t="str">
        <f aca="false">IF($E309="","",IFERROR(INDEX('Food Library'!$B$6:$B$105,MATCH($E309,'Food Library'!$A$6:$A$105,0)),"?? code not in Library"))</f>
        <v/>
      </c>
      <c r="G309" s="32" t="str">
        <f aca="false">IF($E309="","",IFERROR(INDEX('Food Library'!$D$6:$D$105,MATCH($E309,'Food Library'!$A$6:$A$105,0)),""))</f>
        <v/>
      </c>
      <c r="H309" s="20"/>
      <c r="I309" s="20"/>
      <c r="J309" s="20"/>
      <c r="K309" s="20"/>
      <c r="L309" s="21"/>
    </row>
    <row r="310" customFormat="false" ht="15" hidden="false" customHeight="false" outlineLevel="0" collapsed="false">
      <c r="A310" s="20"/>
      <c r="B310" s="30"/>
      <c r="C310" s="20"/>
      <c r="D310" s="22"/>
      <c r="E310" s="20"/>
      <c r="F310" s="31" t="str">
        <f aca="false">IF($E310="","",IFERROR(INDEX('Food Library'!$B$6:$B$105,MATCH($E310,'Food Library'!$A$6:$A$105,0)),"?? code not in Library"))</f>
        <v/>
      </c>
      <c r="G310" s="32" t="str">
        <f aca="false">IF($E310="","",IFERROR(INDEX('Food Library'!$D$6:$D$105,MATCH($E310,'Food Library'!$A$6:$A$105,0)),""))</f>
        <v/>
      </c>
      <c r="H310" s="20"/>
      <c r="I310" s="20"/>
      <c r="J310" s="20"/>
      <c r="K310" s="20"/>
      <c r="L310" s="21"/>
    </row>
    <row r="311" customFormat="false" ht="15" hidden="false" customHeight="false" outlineLevel="0" collapsed="false">
      <c r="A311" s="20"/>
      <c r="B311" s="30"/>
      <c r="C311" s="20"/>
      <c r="D311" s="22"/>
      <c r="E311" s="20"/>
      <c r="F311" s="31" t="str">
        <f aca="false">IF($E311="","",IFERROR(INDEX('Food Library'!$B$6:$B$105,MATCH($E311,'Food Library'!$A$6:$A$105,0)),"?? code not in Library"))</f>
        <v/>
      </c>
      <c r="G311" s="32" t="str">
        <f aca="false">IF($E311="","",IFERROR(INDEX('Food Library'!$D$6:$D$105,MATCH($E311,'Food Library'!$A$6:$A$105,0)),""))</f>
        <v/>
      </c>
      <c r="H311" s="20"/>
      <c r="I311" s="20"/>
      <c r="J311" s="20"/>
      <c r="K311" s="20"/>
      <c r="L311" s="21"/>
    </row>
    <row r="312" customFormat="false" ht="15" hidden="false" customHeight="false" outlineLevel="0" collapsed="false">
      <c r="A312" s="20"/>
      <c r="B312" s="30"/>
      <c r="C312" s="20"/>
      <c r="D312" s="22"/>
      <c r="E312" s="20"/>
      <c r="F312" s="31" t="str">
        <f aca="false">IF($E312="","",IFERROR(INDEX('Food Library'!$B$6:$B$105,MATCH($E312,'Food Library'!$A$6:$A$105,0)),"?? code not in Library"))</f>
        <v/>
      </c>
      <c r="G312" s="32" t="str">
        <f aca="false">IF($E312="","",IFERROR(INDEX('Food Library'!$D$6:$D$105,MATCH($E312,'Food Library'!$A$6:$A$105,0)),""))</f>
        <v/>
      </c>
      <c r="H312" s="20"/>
      <c r="I312" s="20"/>
      <c r="J312" s="20"/>
      <c r="K312" s="20"/>
      <c r="L312" s="21"/>
    </row>
    <row r="313" customFormat="false" ht="15" hidden="false" customHeight="false" outlineLevel="0" collapsed="false">
      <c r="A313" s="20"/>
      <c r="B313" s="30"/>
      <c r="C313" s="20"/>
      <c r="D313" s="22"/>
      <c r="E313" s="20"/>
      <c r="F313" s="31" t="str">
        <f aca="false">IF($E313="","",IFERROR(INDEX('Food Library'!$B$6:$B$105,MATCH($E313,'Food Library'!$A$6:$A$105,0)),"?? code not in Library"))</f>
        <v/>
      </c>
      <c r="G313" s="32" t="str">
        <f aca="false">IF($E313="","",IFERROR(INDEX('Food Library'!$D$6:$D$105,MATCH($E313,'Food Library'!$A$6:$A$105,0)),""))</f>
        <v/>
      </c>
      <c r="H313" s="20"/>
      <c r="I313" s="20"/>
      <c r="J313" s="20"/>
      <c r="K313" s="20"/>
      <c r="L313" s="21"/>
    </row>
    <row r="314" customFormat="false" ht="15" hidden="false" customHeight="false" outlineLevel="0" collapsed="false">
      <c r="A314" s="20"/>
      <c r="B314" s="30"/>
      <c r="C314" s="20"/>
      <c r="D314" s="22"/>
      <c r="E314" s="20"/>
      <c r="F314" s="31" t="str">
        <f aca="false">IF($E314="","",IFERROR(INDEX('Food Library'!$B$6:$B$105,MATCH($E314,'Food Library'!$A$6:$A$105,0)),"?? code not in Library"))</f>
        <v/>
      </c>
      <c r="G314" s="32" t="str">
        <f aca="false">IF($E314="","",IFERROR(INDEX('Food Library'!$D$6:$D$105,MATCH($E314,'Food Library'!$A$6:$A$105,0)),""))</f>
        <v/>
      </c>
      <c r="H314" s="20"/>
      <c r="I314" s="20"/>
      <c r="J314" s="20"/>
      <c r="K314" s="20"/>
      <c r="L314" s="21"/>
    </row>
    <row r="315" customFormat="false" ht="15" hidden="false" customHeight="false" outlineLevel="0" collapsed="false">
      <c r="A315" s="20"/>
      <c r="B315" s="30"/>
      <c r="C315" s="20"/>
      <c r="D315" s="22"/>
      <c r="E315" s="20"/>
      <c r="F315" s="31" t="str">
        <f aca="false">IF($E315="","",IFERROR(INDEX('Food Library'!$B$6:$B$105,MATCH($E315,'Food Library'!$A$6:$A$105,0)),"?? code not in Library"))</f>
        <v/>
      </c>
      <c r="G315" s="32" t="str">
        <f aca="false">IF($E315="","",IFERROR(INDEX('Food Library'!$D$6:$D$105,MATCH($E315,'Food Library'!$A$6:$A$105,0)),""))</f>
        <v/>
      </c>
      <c r="H315" s="20"/>
      <c r="I315" s="20"/>
      <c r="J315" s="20"/>
      <c r="K315" s="20"/>
      <c r="L315" s="21"/>
    </row>
    <row r="316" customFormat="false" ht="15" hidden="false" customHeight="false" outlineLevel="0" collapsed="false">
      <c r="A316" s="20"/>
      <c r="B316" s="30"/>
      <c r="C316" s="20"/>
      <c r="D316" s="22"/>
      <c r="E316" s="20"/>
      <c r="F316" s="31" t="str">
        <f aca="false">IF($E316="","",IFERROR(INDEX('Food Library'!$B$6:$B$105,MATCH($E316,'Food Library'!$A$6:$A$105,0)),"?? code not in Library"))</f>
        <v/>
      </c>
      <c r="G316" s="32" t="str">
        <f aca="false">IF($E316="","",IFERROR(INDEX('Food Library'!$D$6:$D$105,MATCH($E316,'Food Library'!$A$6:$A$105,0)),""))</f>
        <v/>
      </c>
      <c r="H316" s="20"/>
      <c r="I316" s="20"/>
      <c r="J316" s="20"/>
      <c r="K316" s="20"/>
      <c r="L316" s="21"/>
    </row>
    <row r="317" customFormat="false" ht="15" hidden="false" customHeight="false" outlineLevel="0" collapsed="false">
      <c r="A317" s="20"/>
      <c r="B317" s="30"/>
      <c r="C317" s="20"/>
      <c r="D317" s="22"/>
      <c r="E317" s="20"/>
      <c r="F317" s="31" t="str">
        <f aca="false">IF($E317="","",IFERROR(INDEX('Food Library'!$B$6:$B$105,MATCH($E317,'Food Library'!$A$6:$A$105,0)),"?? code not in Library"))</f>
        <v/>
      </c>
      <c r="G317" s="32" t="str">
        <f aca="false">IF($E317="","",IFERROR(INDEX('Food Library'!$D$6:$D$105,MATCH($E317,'Food Library'!$A$6:$A$105,0)),""))</f>
        <v/>
      </c>
      <c r="H317" s="20"/>
      <c r="I317" s="20"/>
      <c r="J317" s="20"/>
      <c r="K317" s="20"/>
      <c r="L317" s="21"/>
    </row>
    <row r="318" customFormat="false" ht="15" hidden="false" customHeight="false" outlineLevel="0" collapsed="false">
      <c r="A318" s="20"/>
      <c r="B318" s="30"/>
      <c r="C318" s="20"/>
      <c r="D318" s="22"/>
      <c r="E318" s="20"/>
      <c r="F318" s="31" t="str">
        <f aca="false">IF($E318="","",IFERROR(INDEX('Food Library'!$B$6:$B$105,MATCH($E318,'Food Library'!$A$6:$A$105,0)),"?? code not in Library"))</f>
        <v/>
      </c>
      <c r="G318" s="32" t="str">
        <f aca="false">IF($E318="","",IFERROR(INDEX('Food Library'!$D$6:$D$105,MATCH($E318,'Food Library'!$A$6:$A$105,0)),""))</f>
        <v/>
      </c>
      <c r="H318" s="20"/>
      <c r="I318" s="20"/>
      <c r="J318" s="20"/>
      <c r="K318" s="20"/>
      <c r="L318" s="21"/>
    </row>
    <row r="319" customFormat="false" ht="15" hidden="false" customHeight="false" outlineLevel="0" collapsed="false">
      <c r="A319" s="20"/>
      <c r="B319" s="30"/>
      <c r="C319" s="20"/>
      <c r="D319" s="22"/>
      <c r="E319" s="20"/>
      <c r="F319" s="31" t="str">
        <f aca="false">IF($E319="","",IFERROR(INDEX('Food Library'!$B$6:$B$105,MATCH($E319,'Food Library'!$A$6:$A$105,0)),"?? code not in Library"))</f>
        <v/>
      </c>
      <c r="G319" s="32" t="str">
        <f aca="false">IF($E319="","",IFERROR(INDEX('Food Library'!$D$6:$D$105,MATCH($E319,'Food Library'!$A$6:$A$105,0)),""))</f>
        <v/>
      </c>
      <c r="H319" s="20"/>
      <c r="I319" s="20"/>
      <c r="J319" s="20"/>
      <c r="K319" s="20"/>
      <c r="L319" s="21"/>
    </row>
    <row r="320" customFormat="false" ht="15" hidden="false" customHeight="false" outlineLevel="0" collapsed="false">
      <c r="A320" s="20"/>
      <c r="B320" s="30"/>
      <c r="C320" s="20"/>
      <c r="D320" s="22"/>
      <c r="E320" s="20"/>
      <c r="F320" s="31" t="str">
        <f aca="false">IF($E320="","",IFERROR(INDEX('Food Library'!$B$6:$B$105,MATCH($E320,'Food Library'!$A$6:$A$105,0)),"?? code not in Library"))</f>
        <v/>
      </c>
      <c r="G320" s="32" t="str">
        <f aca="false">IF($E320="","",IFERROR(INDEX('Food Library'!$D$6:$D$105,MATCH($E320,'Food Library'!$A$6:$A$105,0)),""))</f>
        <v/>
      </c>
      <c r="H320" s="20"/>
      <c r="I320" s="20"/>
      <c r="J320" s="20"/>
      <c r="K320" s="20"/>
      <c r="L320" s="21"/>
    </row>
    <row r="321" customFormat="false" ht="15" hidden="false" customHeight="false" outlineLevel="0" collapsed="false">
      <c r="A321" s="20"/>
      <c r="B321" s="30"/>
      <c r="C321" s="20"/>
      <c r="D321" s="22"/>
      <c r="E321" s="20"/>
      <c r="F321" s="31" t="str">
        <f aca="false">IF($E321="","",IFERROR(INDEX('Food Library'!$B$6:$B$105,MATCH($E321,'Food Library'!$A$6:$A$105,0)),"?? code not in Library"))</f>
        <v/>
      </c>
      <c r="G321" s="32" t="str">
        <f aca="false">IF($E321="","",IFERROR(INDEX('Food Library'!$D$6:$D$105,MATCH($E321,'Food Library'!$A$6:$A$105,0)),""))</f>
        <v/>
      </c>
      <c r="H321" s="20"/>
      <c r="I321" s="20"/>
      <c r="J321" s="20"/>
      <c r="K321" s="20"/>
      <c r="L321" s="21"/>
    </row>
    <row r="322" customFormat="false" ht="15" hidden="false" customHeight="false" outlineLevel="0" collapsed="false">
      <c r="A322" s="20"/>
      <c r="B322" s="30"/>
      <c r="C322" s="20"/>
      <c r="D322" s="22"/>
      <c r="E322" s="20"/>
      <c r="F322" s="31" t="str">
        <f aca="false">IF($E322="","",IFERROR(INDEX('Food Library'!$B$6:$B$105,MATCH($E322,'Food Library'!$A$6:$A$105,0)),"?? code not in Library"))</f>
        <v/>
      </c>
      <c r="G322" s="32" t="str">
        <f aca="false">IF($E322="","",IFERROR(INDEX('Food Library'!$D$6:$D$105,MATCH($E322,'Food Library'!$A$6:$A$105,0)),""))</f>
        <v/>
      </c>
      <c r="H322" s="20"/>
      <c r="I322" s="20"/>
      <c r="J322" s="20"/>
      <c r="K322" s="20"/>
      <c r="L322" s="21"/>
    </row>
    <row r="323" customFormat="false" ht="15" hidden="false" customHeight="false" outlineLevel="0" collapsed="false">
      <c r="A323" s="20"/>
      <c r="B323" s="30"/>
      <c r="C323" s="20"/>
      <c r="D323" s="22"/>
      <c r="E323" s="20"/>
      <c r="F323" s="31" t="str">
        <f aca="false">IF($E323="","",IFERROR(INDEX('Food Library'!$B$6:$B$105,MATCH($E323,'Food Library'!$A$6:$A$105,0)),"?? code not in Library"))</f>
        <v/>
      </c>
      <c r="G323" s="32" t="str">
        <f aca="false">IF($E323="","",IFERROR(INDEX('Food Library'!$D$6:$D$105,MATCH($E323,'Food Library'!$A$6:$A$105,0)),""))</f>
        <v/>
      </c>
      <c r="H323" s="20"/>
      <c r="I323" s="20"/>
      <c r="J323" s="20"/>
      <c r="K323" s="20"/>
      <c r="L323" s="21"/>
    </row>
    <row r="324" customFormat="false" ht="15" hidden="false" customHeight="false" outlineLevel="0" collapsed="false">
      <c r="A324" s="20"/>
      <c r="B324" s="30"/>
      <c r="C324" s="20"/>
      <c r="D324" s="22"/>
      <c r="E324" s="20"/>
      <c r="F324" s="31" t="str">
        <f aca="false">IF($E324="","",IFERROR(INDEX('Food Library'!$B$6:$B$105,MATCH($E324,'Food Library'!$A$6:$A$105,0)),"?? code not in Library"))</f>
        <v/>
      </c>
      <c r="G324" s="32" t="str">
        <f aca="false">IF($E324="","",IFERROR(INDEX('Food Library'!$D$6:$D$105,MATCH($E324,'Food Library'!$A$6:$A$105,0)),""))</f>
        <v/>
      </c>
      <c r="H324" s="20"/>
      <c r="I324" s="20"/>
      <c r="J324" s="20"/>
      <c r="K324" s="20"/>
      <c r="L324" s="21"/>
    </row>
    <row r="325" customFormat="false" ht="15" hidden="false" customHeight="false" outlineLevel="0" collapsed="false">
      <c r="A325" s="20"/>
      <c r="B325" s="30"/>
      <c r="C325" s="20"/>
      <c r="D325" s="22"/>
      <c r="E325" s="20"/>
      <c r="F325" s="31" t="str">
        <f aca="false">IF($E325="","",IFERROR(INDEX('Food Library'!$B$6:$B$105,MATCH($E325,'Food Library'!$A$6:$A$105,0)),"?? code not in Library"))</f>
        <v/>
      </c>
      <c r="G325" s="32" t="str">
        <f aca="false">IF($E325="","",IFERROR(INDEX('Food Library'!$D$6:$D$105,MATCH($E325,'Food Library'!$A$6:$A$105,0)),""))</f>
        <v/>
      </c>
      <c r="H325" s="20"/>
      <c r="I325" s="20"/>
      <c r="J325" s="20"/>
      <c r="K325" s="20"/>
      <c r="L325" s="21"/>
    </row>
    <row r="326" customFormat="false" ht="15" hidden="false" customHeight="false" outlineLevel="0" collapsed="false">
      <c r="A326" s="20"/>
      <c r="B326" s="30"/>
      <c r="C326" s="20"/>
      <c r="D326" s="22"/>
      <c r="E326" s="20"/>
      <c r="F326" s="31" t="str">
        <f aca="false">IF($E326="","",IFERROR(INDEX('Food Library'!$B$6:$B$105,MATCH($E326,'Food Library'!$A$6:$A$105,0)),"?? code not in Library"))</f>
        <v/>
      </c>
      <c r="G326" s="32" t="str">
        <f aca="false">IF($E326="","",IFERROR(INDEX('Food Library'!$D$6:$D$105,MATCH($E326,'Food Library'!$A$6:$A$105,0)),""))</f>
        <v/>
      </c>
      <c r="H326" s="20"/>
      <c r="I326" s="20"/>
      <c r="J326" s="20"/>
      <c r="K326" s="20"/>
      <c r="L326" s="21"/>
    </row>
    <row r="327" customFormat="false" ht="15" hidden="false" customHeight="false" outlineLevel="0" collapsed="false">
      <c r="A327" s="20"/>
      <c r="B327" s="30"/>
      <c r="C327" s="20"/>
      <c r="D327" s="22"/>
      <c r="E327" s="20"/>
      <c r="F327" s="31" t="str">
        <f aca="false">IF($E327="","",IFERROR(INDEX('Food Library'!$B$6:$B$105,MATCH($E327,'Food Library'!$A$6:$A$105,0)),"?? code not in Library"))</f>
        <v/>
      </c>
      <c r="G327" s="32" t="str">
        <f aca="false">IF($E327="","",IFERROR(INDEX('Food Library'!$D$6:$D$105,MATCH($E327,'Food Library'!$A$6:$A$105,0)),""))</f>
        <v/>
      </c>
      <c r="H327" s="20"/>
      <c r="I327" s="20"/>
      <c r="J327" s="20"/>
      <c r="K327" s="20"/>
      <c r="L327" s="21"/>
    </row>
    <row r="328" customFormat="false" ht="15" hidden="false" customHeight="false" outlineLevel="0" collapsed="false">
      <c r="A328" s="20"/>
      <c r="B328" s="30"/>
      <c r="C328" s="20"/>
      <c r="D328" s="22"/>
      <c r="E328" s="20"/>
      <c r="F328" s="31" t="str">
        <f aca="false">IF($E328="","",IFERROR(INDEX('Food Library'!$B$6:$B$105,MATCH($E328,'Food Library'!$A$6:$A$105,0)),"?? code not in Library"))</f>
        <v/>
      </c>
      <c r="G328" s="32" t="str">
        <f aca="false">IF($E328="","",IFERROR(INDEX('Food Library'!$D$6:$D$105,MATCH($E328,'Food Library'!$A$6:$A$105,0)),""))</f>
        <v/>
      </c>
      <c r="H328" s="20"/>
      <c r="I328" s="20"/>
      <c r="J328" s="20"/>
      <c r="K328" s="20"/>
      <c r="L328" s="21"/>
    </row>
    <row r="329" customFormat="false" ht="15" hidden="false" customHeight="false" outlineLevel="0" collapsed="false">
      <c r="A329" s="20"/>
      <c r="B329" s="30"/>
      <c r="C329" s="20"/>
      <c r="D329" s="22"/>
      <c r="E329" s="20"/>
      <c r="F329" s="31" t="str">
        <f aca="false">IF($E329="","",IFERROR(INDEX('Food Library'!$B$6:$B$105,MATCH($E329,'Food Library'!$A$6:$A$105,0)),"?? code not in Library"))</f>
        <v/>
      </c>
      <c r="G329" s="32" t="str">
        <f aca="false">IF($E329="","",IFERROR(INDEX('Food Library'!$D$6:$D$105,MATCH($E329,'Food Library'!$A$6:$A$105,0)),""))</f>
        <v/>
      </c>
      <c r="H329" s="20"/>
      <c r="I329" s="20"/>
      <c r="J329" s="20"/>
      <c r="K329" s="20"/>
      <c r="L329" s="21"/>
    </row>
    <row r="330" customFormat="false" ht="15" hidden="false" customHeight="false" outlineLevel="0" collapsed="false">
      <c r="A330" s="20"/>
      <c r="B330" s="30"/>
      <c r="C330" s="20"/>
      <c r="D330" s="22"/>
      <c r="E330" s="20"/>
      <c r="F330" s="31" t="str">
        <f aca="false">IF($E330="","",IFERROR(INDEX('Food Library'!$B$6:$B$105,MATCH($E330,'Food Library'!$A$6:$A$105,0)),"?? code not in Library"))</f>
        <v/>
      </c>
      <c r="G330" s="32" t="str">
        <f aca="false">IF($E330="","",IFERROR(INDEX('Food Library'!$D$6:$D$105,MATCH($E330,'Food Library'!$A$6:$A$105,0)),""))</f>
        <v/>
      </c>
      <c r="H330" s="20"/>
      <c r="I330" s="20"/>
      <c r="J330" s="20"/>
      <c r="K330" s="20"/>
      <c r="L330" s="21"/>
    </row>
    <row r="331" customFormat="false" ht="15" hidden="false" customHeight="false" outlineLevel="0" collapsed="false">
      <c r="A331" s="20"/>
      <c r="B331" s="30"/>
      <c r="C331" s="20"/>
      <c r="D331" s="22"/>
      <c r="E331" s="20"/>
      <c r="F331" s="31" t="str">
        <f aca="false">IF($E331="","",IFERROR(INDEX('Food Library'!$B$6:$B$105,MATCH($E331,'Food Library'!$A$6:$A$105,0)),"?? code not in Library"))</f>
        <v/>
      </c>
      <c r="G331" s="32" t="str">
        <f aca="false">IF($E331="","",IFERROR(INDEX('Food Library'!$D$6:$D$105,MATCH($E331,'Food Library'!$A$6:$A$105,0)),""))</f>
        <v/>
      </c>
      <c r="H331" s="20"/>
      <c r="I331" s="20"/>
      <c r="J331" s="20"/>
      <c r="K331" s="20"/>
      <c r="L331" s="21"/>
    </row>
    <row r="332" customFormat="false" ht="15" hidden="false" customHeight="false" outlineLevel="0" collapsed="false">
      <c r="A332" s="20"/>
      <c r="B332" s="30"/>
      <c r="C332" s="20"/>
      <c r="D332" s="22"/>
      <c r="E332" s="20"/>
      <c r="F332" s="31" t="str">
        <f aca="false">IF($E332="","",IFERROR(INDEX('Food Library'!$B$6:$B$105,MATCH($E332,'Food Library'!$A$6:$A$105,0)),"?? code not in Library"))</f>
        <v/>
      </c>
      <c r="G332" s="32" t="str">
        <f aca="false">IF($E332="","",IFERROR(INDEX('Food Library'!$D$6:$D$105,MATCH($E332,'Food Library'!$A$6:$A$105,0)),""))</f>
        <v/>
      </c>
      <c r="H332" s="20"/>
      <c r="I332" s="20"/>
      <c r="J332" s="20"/>
      <c r="K332" s="20"/>
      <c r="L332" s="21"/>
    </row>
    <row r="333" customFormat="false" ht="15" hidden="false" customHeight="false" outlineLevel="0" collapsed="false">
      <c r="A333" s="20"/>
      <c r="B333" s="30"/>
      <c r="C333" s="20"/>
      <c r="D333" s="22"/>
      <c r="E333" s="20"/>
      <c r="F333" s="31" t="str">
        <f aca="false">IF($E333="","",IFERROR(INDEX('Food Library'!$B$6:$B$105,MATCH($E333,'Food Library'!$A$6:$A$105,0)),"?? code not in Library"))</f>
        <v/>
      </c>
      <c r="G333" s="32" t="str">
        <f aca="false">IF($E333="","",IFERROR(INDEX('Food Library'!$D$6:$D$105,MATCH($E333,'Food Library'!$A$6:$A$105,0)),""))</f>
        <v/>
      </c>
      <c r="H333" s="20"/>
      <c r="I333" s="20"/>
      <c r="J333" s="20"/>
      <c r="K333" s="20"/>
      <c r="L333" s="21"/>
    </row>
    <row r="334" customFormat="false" ht="15" hidden="false" customHeight="false" outlineLevel="0" collapsed="false">
      <c r="A334" s="20"/>
      <c r="B334" s="30"/>
      <c r="C334" s="20"/>
      <c r="D334" s="22"/>
      <c r="E334" s="20"/>
      <c r="F334" s="31" t="str">
        <f aca="false">IF($E334="","",IFERROR(INDEX('Food Library'!$B$6:$B$105,MATCH($E334,'Food Library'!$A$6:$A$105,0)),"?? code not in Library"))</f>
        <v/>
      </c>
      <c r="G334" s="32" t="str">
        <f aca="false">IF($E334="","",IFERROR(INDEX('Food Library'!$D$6:$D$105,MATCH($E334,'Food Library'!$A$6:$A$105,0)),""))</f>
        <v/>
      </c>
      <c r="H334" s="20"/>
      <c r="I334" s="20"/>
      <c r="J334" s="20"/>
      <c r="K334" s="20"/>
      <c r="L334" s="21"/>
    </row>
    <row r="335" customFormat="false" ht="15" hidden="false" customHeight="false" outlineLevel="0" collapsed="false">
      <c r="A335" s="20"/>
      <c r="B335" s="30"/>
      <c r="C335" s="20"/>
      <c r="D335" s="22"/>
      <c r="E335" s="20"/>
      <c r="F335" s="31" t="str">
        <f aca="false">IF($E335="","",IFERROR(INDEX('Food Library'!$B$6:$B$105,MATCH($E335,'Food Library'!$A$6:$A$105,0)),"?? code not in Library"))</f>
        <v/>
      </c>
      <c r="G335" s="32" t="str">
        <f aca="false">IF($E335="","",IFERROR(INDEX('Food Library'!$D$6:$D$105,MATCH($E335,'Food Library'!$A$6:$A$105,0)),""))</f>
        <v/>
      </c>
      <c r="H335" s="20"/>
      <c r="I335" s="20"/>
      <c r="J335" s="20"/>
      <c r="K335" s="20"/>
      <c r="L335" s="21"/>
    </row>
    <row r="336" customFormat="false" ht="15" hidden="false" customHeight="false" outlineLevel="0" collapsed="false">
      <c r="A336" s="20"/>
      <c r="B336" s="30"/>
      <c r="C336" s="20"/>
      <c r="D336" s="22"/>
      <c r="E336" s="20"/>
      <c r="F336" s="31" t="str">
        <f aca="false">IF($E336="","",IFERROR(INDEX('Food Library'!$B$6:$B$105,MATCH($E336,'Food Library'!$A$6:$A$105,0)),"?? code not in Library"))</f>
        <v/>
      </c>
      <c r="G336" s="32" t="str">
        <f aca="false">IF($E336="","",IFERROR(INDEX('Food Library'!$D$6:$D$105,MATCH($E336,'Food Library'!$A$6:$A$105,0)),""))</f>
        <v/>
      </c>
      <c r="H336" s="20"/>
      <c r="I336" s="20"/>
      <c r="J336" s="20"/>
      <c r="K336" s="20"/>
      <c r="L336" s="21"/>
    </row>
    <row r="337" customFormat="false" ht="15" hidden="false" customHeight="false" outlineLevel="0" collapsed="false">
      <c r="A337" s="20"/>
      <c r="B337" s="30"/>
      <c r="C337" s="20"/>
      <c r="D337" s="22"/>
      <c r="E337" s="20"/>
      <c r="F337" s="31" t="str">
        <f aca="false">IF($E337="","",IFERROR(INDEX('Food Library'!$B$6:$B$105,MATCH($E337,'Food Library'!$A$6:$A$105,0)),"?? code not in Library"))</f>
        <v/>
      </c>
      <c r="G337" s="32" t="str">
        <f aca="false">IF($E337="","",IFERROR(INDEX('Food Library'!$D$6:$D$105,MATCH($E337,'Food Library'!$A$6:$A$105,0)),""))</f>
        <v/>
      </c>
      <c r="H337" s="20"/>
      <c r="I337" s="20"/>
      <c r="J337" s="20"/>
      <c r="K337" s="20"/>
      <c r="L337" s="21"/>
    </row>
    <row r="338" customFormat="false" ht="15" hidden="false" customHeight="false" outlineLevel="0" collapsed="false">
      <c r="A338" s="20"/>
      <c r="B338" s="30"/>
      <c r="C338" s="20"/>
      <c r="D338" s="22"/>
      <c r="E338" s="20"/>
      <c r="F338" s="31" t="str">
        <f aca="false">IF($E338="","",IFERROR(INDEX('Food Library'!$B$6:$B$105,MATCH($E338,'Food Library'!$A$6:$A$105,0)),"?? code not in Library"))</f>
        <v/>
      </c>
      <c r="G338" s="32" t="str">
        <f aca="false">IF($E338="","",IFERROR(INDEX('Food Library'!$D$6:$D$105,MATCH($E338,'Food Library'!$A$6:$A$105,0)),""))</f>
        <v/>
      </c>
      <c r="H338" s="20"/>
      <c r="I338" s="20"/>
      <c r="J338" s="20"/>
      <c r="K338" s="20"/>
      <c r="L338" s="21"/>
    </row>
    <row r="339" customFormat="false" ht="15" hidden="false" customHeight="false" outlineLevel="0" collapsed="false">
      <c r="A339" s="20"/>
      <c r="B339" s="30"/>
      <c r="C339" s="20"/>
      <c r="D339" s="22"/>
      <c r="E339" s="20"/>
      <c r="F339" s="31" t="str">
        <f aca="false">IF($E339="","",IFERROR(INDEX('Food Library'!$B$6:$B$105,MATCH($E339,'Food Library'!$A$6:$A$105,0)),"?? code not in Library"))</f>
        <v/>
      </c>
      <c r="G339" s="32" t="str">
        <f aca="false">IF($E339="","",IFERROR(INDEX('Food Library'!$D$6:$D$105,MATCH($E339,'Food Library'!$A$6:$A$105,0)),""))</f>
        <v/>
      </c>
      <c r="H339" s="20"/>
      <c r="I339" s="20"/>
      <c r="J339" s="20"/>
      <c r="K339" s="20"/>
      <c r="L339" s="21"/>
    </row>
    <row r="340" customFormat="false" ht="15" hidden="false" customHeight="false" outlineLevel="0" collapsed="false">
      <c r="A340" s="20"/>
      <c r="B340" s="30"/>
      <c r="C340" s="20"/>
      <c r="D340" s="22"/>
      <c r="E340" s="20"/>
      <c r="F340" s="31" t="str">
        <f aca="false">IF($E340="","",IFERROR(INDEX('Food Library'!$B$6:$B$105,MATCH($E340,'Food Library'!$A$6:$A$105,0)),"?? code not in Library"))</f>
        <v/>
      </c>
      <c r="G340" s="32" t="str">
        <f aca="false">IF($E340="","",IFERROR(INDEX('Food Library'!$D$6:$D$105,MATCH($E340,'Food Library'!$A$6:$A$105,0)),""))</f>
        <v/>
      </c>
      <c r="H340" s="20"/>
      <c r="I340" s="20"/>
      <c r="J340" s="20"/>
      <c r="K340" s="20"/>
      <c r="L340" s="21"/>
    </row>
    <row r="341" customFormat="false" ht="15" hidden="false" customHeight="false" outlineLevel="0" collapsed="false">
      <c r="A341" s="20"/>
      <c r="B341" s="30"/>
      <c r="C341" s="20"/>
      <c r="D341" s="22"/>
      <c r="E341" s="20"/>
      <c r="F341" s="31" t="str">
        <f aca="false">IF($E341="","",IFERROR(INDEX('Food Library'!$B$6:$B$105,MATCH($E341,'Food Library'!$A$6:$A$105,0)),"?? code not in Library"))</f>
        <v/>
      </c>
      <c r="G341" s="32" t="str">
        <f aca="false">IF($E341="","",IFERROR(INDEX('Food Library'!$D$6:$D$105,MATCH($E341,'Food Library'!$A$6:$A$105,0)),""))</f>
        <v/>
      </c>
      <c r="H341" s="20"/>
      <c r="I341" s="20"/>
      <c r="J341" s="20"/>
      <c r="K341" s="20"/>
      <c r="L341" s="21"/>
    </row>
    <row r="342" customFormat="false" ht="15" hidden="false" customHeight="false" outlineLevel="0" collapsed="false">
      <c r="A342" s="20"/>
      <c r="B342" s="30"/>
      <c r="C342" s="20"/>
      <c r="D342" s="22"/>
      <c r="E342" s="20"/>
      <c r="F342" s="31" t="str">
        <f aca="false">IF($E342="","",IFERROR(INDEX('Food Library'!$B$6:$B$105,MATCH($E342,'Food Library'!$A$6:$A$105,0)),"?? code not in Library"))</f>
        <v/>
      </c>
      <c r="G342" s="32" t="str">
        <f aca="false">IF($E342="","",IFERROR(INDEX('Food Library'!$D$6:$D$105,MATCH($E342,'Food Library'!$A$6:$A$105,0)),""))</f>
        <v/>
      </c>
      <c r="H342" s="20"/>
      <c r="I342" s="20"/>
      <c r="J342" s="20"/>
      <c r="K342" s="20"/>
      <c r="L342" s="21"/>
    </row>
    <row r="343" customFormat="false" ht="15" hidden="false" customHeight="false" outlineLevel="0" collapsed="false">
      <c r="A343" s="20"/>
      <c r="B343" s="30"/>
      <c r="C343" s="20"/>
      <c r="D343" s="22"/>
      <c r="E343" s="20"/>
      <c r="F343" s="31" t="str">
        <f aca="false">IF($E343="","",IFERROR(INDEX('Food Library'!$B$6:$B$105,MATCH($E343,'Food Library'!$A$6:$A$105,0)),"?? code not in Library"))</f>
        <v/>
      </c>
      <c r="G343" s="32" t="str">
        <f aca="false">IF($E343="","",IFERROR(INDEX('Food Library'!$D$6:$D$105,MATCH($E343,'Food Library'!$A$6:$A$105,0)),""))</f>
        <v/>
      </c>
      <c r="H343" s="20"/>
      <c r="I343" s="20"/>
      <c r="J343" s="20"/>
      <c r="K343" s="20"/>
      <c r="L343" s="21"/>
    </row>
    <row r="344" customFormat="false" ht="15" hidden="false" customHeight="false" outlineLevel="0" collapsed="false">
      <c r="A344" s="20"/>
      <c r="B344" s="30"/>
      <c r="C344" s="20"/>
      <c r="D344" s="22"/>
      <c r="E344" s="20"/>
      <c r="F344" s="31" t="str">
        <f aca="false">IF($E344="","",IFERROR(INDEX('Food Library'!$B$6:$B$105,MATCH($E344,'Food Library'!$A$6:$A$105,0)),"?? code not in Library"))</f>
        <v/>
      </c>
      <c r="G344" s="32" t="str">
        <f aca="false">IF($E344="","",IFERROR(INDEX('Food Library'!$D$6:$D$105,MATCH($E344,'Food Library'!$A$6:$A$105,0)),""))</f>
        <v/>
      </c>
      <c r="H344" s="20"/>
      <c r="I344" s="20"/>
      <c r="J344" s="20"/>
      <c r="K344" s="20"/>
      <c r="L344" s="21"/>
    </row>
    <row r="345" customFormat="false" ht="15" hidden="false" customHeight="false" outlineLevel="0" collapsed="false">
      <c r="A345" s="20"/>
      <c r="B345" s="30"/>
      <c r="C345" s="20"/>
      <c r="D345" s="22"/>
      <c r="E345" s="20"/>
      <c r="F345" s="31" t="str">
        <f aca="false">IF($E345="","",IFERROR(INDEX('Food Library'!$B$6:$B$105,MATCH($E345,'Food Library'!$A$6:$A$105,0)),"?? code not in Library"))</f>
        <v/>
      </c>
      <c r="G345" s="32" t="str">
        <f aca="false">IF($E345="","",IFERROR(INDEX('Food Library'!$D$6:$D$105,MATCH($E345,'Food Library'!$A$6:$A$105,0)),""))</f>
        <v/>
      </c>
      <c r="H345" s="20"/>
      <c r="I345" s="20"/>
      <c r="J345" s="20"/>
      <c r="K345" s="20"/>
      <c r="L345" s="21"/>
    </row>
    <row r="346" customFormat="false" ht="15" hidden="false" customHeight="false" outlineLevel="0" collapsed="false">
      <c r="A346" s="20"/>
      <c r="B346" s="30"/>
      <c r="C346" s="20"/>
      <c r="D346" s="22"/>
      <c r="E346" s="20"/>
      <c r="F346" s="31" t="str">
        <f aca="false">IF($E346="","",IFERROR(INDEX('Food Library'!$B$6:$B$105,MATCH($E346,'Food Library'!$A$6:$A$105,0)),"?? code not in Library"))</f>
        <v/>
      </c>
      <c r="G346" s="32" t="str">
        <f aca="false">IF($E346="","",IFERROR(INDEX('Food Library'!$D$6:$D$105,MATCH($E346,'Food Library'!$A$6:$A$105,0)),""))</f>
        <v/>
      </c>
      <c r="H346" s="20"/>
      <c r="I346" s="20"/>
      <c r="J346" s="20"/>
      <c r="K346" s="20"/>
      <c r="L346" s="21"/>
    </row>
    <row r="347" customFormat="false" ht="15" hidden="false" customHeight="false" outlineLevel="0" collapsed="false">
      <c r="A347" s="20"/>
      <c r="B347" s="30"/>
      <c r="C347" s="20"/>
      <c r="D347" s="22"/>
      <c r="E347" s="20"/>
      <c r="F347" s="31" t="str">
        <f aca="false">IF($E347="","",IFERROR(INDEX('Food Library'!$B$6:$B$105,MATCH($E347,'Food Library'!$A$6:$A$105,0)),"?? code not in Library"))</f>
        <v/>
      </c>
      <c r="G347" s="32" t="str">
        <f aca="false">IF($E347="","",IFERROR(INDEX('Food Library'!$D$6:$D$105,MATCH($E347,'Food Library'!$A$6:$A$105,0)),""))</f>
        <v/>
      </c>
      <c r="H347" s="20"/>
      <c r="I347" s="20"/>
      <c r="J347" s="20"/>
      <c r="K347" s="20"/>
      <c r="L347" s="21"/>
    </row>
    <row r="348" customFormat="false" ht="15" hidden="false" customHeight="false" outlineLevel="0" collapsed="false">
      <c r="A348" s="20"/>
      <c r="B348" s="30"/>
      <c r="C348" s="20"/>
      <c r="D348" s="22"/>
      <c r="E348" s="20"/>
      <c r="F348" s="31" t="str">
        <f aca="false">IF($E348="","",IFERROR(INDEX('Food Library'!$B$6:$B$105,MATCH($E348,'Food Library'!$A$6:$A$105,0)),"?? code not in Library"))</f>
        <v/>
      </c>
      <c r="G348" s="32" t="str">
        <f aca="false">IF($E348="","",IFERROR(INDEX('Food Library'!$D$6:$D$105,MATCH($E348,'Food Library'!$A$6:$A$105,0)),""))</f>
        <v/>
      </c>
      <c r="H348" s="20"/>
      <c r="I348" s="20"/>
      <c r="J348" s="20"/>
      <c r="K348" s="20"/>
      <c r="L348" s="21"/>
    </row>
    <row r="349" customFormat="false" ht="15" hidden="false" customHeight="false" outlineLevel="0" collapsed="false">
      <c r="A349" s="20"/>
      <c r="B349" s="30"/>
      <c r="C349" s="20"/>
      <c r="D349" s="22"/>
      <c r="E349" s="20"/>
      <c r="F349" s="31" t="str">
        <f aca="false">IF($E349="","",IFERROR(INDEX('Food Library'!$B$6:$B$105,MATCH($E349,'Food Library'!$A$6:$A$105,0)),"?? code not in Library"))</f>
        <v/>
      </c>
      <c r="G349" s="32" t="str">
        <f aca="false">IF($E349="","",IFERROR(INDEX('Food Library'!$D$6:$D$105,MATCH($E349,'Food Library'!$A$6:$A$105,0)),""))</f>
        <v/>
      </c>
      <c r="H349" s="20"/>
      <c r="I349" s="20"/>
      <c r="J349" s="20"/>
      <c r="K349" s="20"/>
      <c r="L349" s="21"/>
    </row>
    <row r="350" customFormat="false" ht="15" hidden="false" customHeight="false" outlineLevel="0" collapsed="false">
      <c r="A350" s="20"/>
      <c r="B350" s="30"/>
      <c r="C350" s="20"/>
      <c r="D350" s="22"/>
      <c r="E350" s="20"/>
      <c r="F350" s="31" t="str">
        <f aca="false">IF($E350="","",IFERROR(INDEX('Food Library'!$B$6:$B$105,MATCH($E350,'Food Library'!$A$6:$A$105,0)),"?? code not in Library"))</f>
        <v/>
      </c>
      <c r="G350" s="32" t="str">
        <f aca="false">IF($E350="","",IFERROR(INDEX('Food Library'!$D$6:$D$105,MATCH($E350,'Food Library'!$A$6:$A$105,0)),""))</f>
        <v/>
      </c>
      <c r="H350" s="20"/>
      <c r="I350" s="20"/>
      <c r="J350" s="20"/>
      <c r="K350" s="20"/>
      <c r="L350" s="21"/>
    </row>
    <row r="351" customFormat="false" ht="15" hidden="false" customHeight="false" outlineLevel="0" collapsed="false">
      <c r="A351" s="20"/>
      <c r="B351" s="30"/>
      <c r="C351" s="20"/>
      <c r="D351" s="22"/>
      <c r="E351" s="20"/>
      <c r="F351" s="31" t="str">
        <f aca="false">IF($E351="","",IFERROR(INDEX('Food Library'!$B$6:$B$105,MATCH($E351,'Food Library'!$A$6:$A$105,0)),"?? code not in Library"))</f>
        <v/>
      </c>
      <c r="G351" s="32" t="str">
        <f aca="false">IF($E351="","",IFERROR(INDEX('Food Library'!$D$6:$D$105,MATCH($E351,'Food Library'!$A$6:$A$105,0)),""))</f>
        <v/>
      </c>
      <c r="H351" s="20"/>
      <c r="I351" s="20"/>
      <c r="J351" s="20"/>
      <c r="K351" s="20"/>
      <c r="L351" s="21"/>
    </row>
    <row r="352" customFormat="false" ht="15" hidden="false" customHeight="false" outlineLevel="0" collapsed="false">
      <c r="A352" s="20"/>
      <c r="B352" s="30"/>
      <c r="C352" s="20"/>
      <c r="D352" s="22"/>
      <c r="E352" s="20"/>
      <c r="F352" s="31" t="str">
        <f aca="false">IF($E352="","",IFERROR(INDEX('Food Library'!$B$6:$B$105,MATCH($E352,'Food Library'!$A$6:$A$105,0)),"?? code not in Library"))</f>
        <v/>
      </c>
      <c r="G352" s="32" t="str">
        <f aca="false">IF($E352="","",IFERROR(INDEX('Food Library'!$D$6:$D$105,MATCH($E352,'Food Library'!$A$6:$A$105,0)),""))</f>
        <v/>
      </c>
      <c r="H352" s="20"/>
      <c r="I352" s="20"/>
      <c r="J352" s="20"/>
      <c r="K352" s="20"/>
      <c r="L352" s="21"/>
    </row>
    <row r="353" customFormat="false" ht="15" hidden="false" customHeight="false" outlineLevel="0" collapsed="false">
      <c r="A353" s="20"/>
      <c r="B353" s="30"/>
      <c r="C353" s="20"/>
      <c r="D353" s="22"/>
      <c r="E353" s="20"/>
      <c r="F353" s="31" t="str">
        <f aca="false">IF($E353="","",IFERROR(INDEX('Food Library'!$B$6:$B$105,MATCH($E353,'Food Library'!$A$6:$A$105,0)),"?? code not in Library"))</f>
        <v/>
      </c>
      <c r="G353" s="32" t="str">
        <f aca="false">IF($E353="","",IFERROR(INDEX('Food Library'!$D$6:$D$105,MATCH($E353,'Food Library'!$A$6:$A$105,0)),""))</f>
        <v/>
      </c>
      <c r="H353" s="20"/>
      <c r="I353" s="20"/>
      <c r="J353" s="20"/>
      <c r="K353" s="20"/>
      <c r="L353" s="21"/>
    </row>
    <row r="354" customFormat="false" ht="15" hidden="false" customHeight="false" outlineLevel="0" collapsed="false">
      <c r="A354" s="20"/>
      <c r="B354" s="30"/>
      <c r="C354" s="20"/>
      <c r="D354" s="22"/>
      <c r="E354" s="20"/>
      <c r="F354" s="31" t="str">
        <f aca="false">IF($E354="","",IFERROR(INDEX('Food Library'!$B$6:$B$105,MATCH($E354,'Food Library'!$A$6:$A$105,0)),"?? code not in Library"))</f>
        <v/>
      </c>
      <c r="G354" s="32" t="str">
        <f aca="false">IF($E354="","",IFERROR(INDEX('Food Library'!$D$6:$D$105,MATCH($E354,'Food Library'!$A$6:$A$105,0)),""))</f>
        <v/>
      </c>
      <c r="H354" s="20"/>
      <c r="I354" s="20"/>
      <c r="J354" s="20"/>
      <c r="K354" s="20"/>
      <c r="L354" s="21"/>
    </row>
    <row r="355" customFormat="false" ht="15" hidden="false" customHeight="false" outlineLevel="0" collapsed="false">
      <c r="A355" s="20"/>
      <c r="B355" s="30"/>
      <c r="C355" s="20"/>
      <c r="D355" s="22"/>
      <c r="E355" s="20"/>
      <c r="F355" s="31" t="str">
        <f aca="false">IF($E355="","",IFERROR(INDEX('Food Library'!$B$6:$B$105,MATCH($E355,'Food Library'!$A$6:$A$105,0)),"?? code not in Library"))</f>
        <v/>
      </c>
      <c r="G355" s="32" t="str">
        <f aca="false">IF($E355="","",IFERROR(INDEX('Food Library'!$D$6:$D$105,MATCH($E355,'Food Library'!$A$6:$A$105,0)),""))</f>
        <v/>
      </c>
      <c r="H355" s="20"/>
      <c r="I355" s="20"/>
      <c r="J355" s="20"/>
      <c r="K355" s="20"/>
      <c r="L355" s="21"/>
    </row>
    <row r="356" customFormat="false" ht="15" hidden="false" customHeight="false" outlineLevel="0" collapsed="false">
      <c r="A356" s="20"/>
      <c r="B356" s="30"/>
      <c r="C356" s="20"/>
      <c r="D356" s="22"/>
      <c r="E356" s="20"/>
      <c r="F356" s="31" t="str">
        <f aca="false">IF($E356="","",IFERROR(INDEX('Food Library'!$B$6:$B$105,MATCH($E356,'Food Library'!$A$6:$A$105,0)),"?? code not in Library"))</f>
        <v/>
      </c>
      <c r="G356" s="32" t="str">
        <f aca="false">IF($E356="","",IFERROR(INDEX('Food Library'!$D$6:$D$105,MATCH($E356,'Food Library'!$A$6:$A$105,0)),""))</f>
        <v/>
      </c>
      <c r="H356" s="20"/>
      <c r="I356" s="20"/>
      <c r="J356" s="20"/>
      <c r="K356" s="20"/>
      <c r="L356" s="21"/>
    </row>
    <row r="357" customFormat="false" ht="15" hidden="false" customHeight="false" outlineLevel="0" collapsed="false">
      <c r="A357" s="20"/>
      <c r="B357" s="30"/>
      <c r="C357" s="20"/>
      <c r="D357" s="22"/>
      <c r="E357" s="20"/>
      <c r="F357" s="31" t="str">
        <f aca="false">IF($E357="","",IFERROR(INDEX('Food Library'!$B$6:$B$105,MATCH($E357,'Food Library'!$A$6:$A$105,0)),"?? code not in Library"))</f>
        <v/>
      </c>
      <c r="G357" s="32" t="str">
        <f aca="false">IF($E357="","",IFERROR(INDEX('Food Library'!$D$6:$D$105,MATCH($E357,'Food Library'!$A$6:$A$105,0)),""))</f>
        <v/>
      </c>
      <c r="H357" s="20"/>
      <c r="I357" s="20"/>
      <c r="J357" s="20"/>
      <c r="K357" s="20"/>
      <c r="L357" s="21"/>
    </row>
    <row r="358" customFormat="false" ht="15" hidden="false" customHeight="false" outlineLevel="0" collapsed="false">
      <c r="A358" s="20"/>
      <c r="B358" s="30"/>
      <c r="C358" s="20"/>
      <c r="D358" s="22"/>
      <c r="E358" s="20"/>
      <c r="F358" s="31" t="str">
        <f aca="false">IF($E358="","",IFERROR(INDEX('Food Library'!$B$6:$B$105,MATCH($E358,'Food Library'!$A$6:$A$105,0)),"?? code not in Library"))</f>
        <v/>
      </c>
      <c r="G358" s="32" t="str">
        <f aca="false">IF($E358="","",IFERROR(INDEX('Food Library'!$D$6:$D$105,MATCH($E358,'Food Library'!$A$6:$A$105,0)),""))</f>
        <v/>
      </c>
      <c r="H358" s="20"/>
      <c r="I358" s="20"/>
      <c r="J358" s="20"/>
      <c r="K358" s="20"/>
      <c r="L358" s="21"/>
    </row>
    <row r="359" customFormat="false" ht="15" hidden="false" customHeight="false" outlineLevel="0" collapsed="false">
      <c r="A359" s="20"/>
      <c r="B359" s="30"/>
      <c r="C359" s="20"/>
      <c r="D359" s="22"/>
      <c r="E359" s="20"/>
      <c r="F359" s="31" t="str">
        <f aca="false">IF($E359="","",IFERROR(INDEX('Food Library'!$B$6:$B$105,MATCH($E359,'Food Library'!$A$6:$A$105,0)),"?? code not in Library"))</f>
        <v/>
      </c>
      <c r="G359" s="32" t="str">
        <f aca="false">IF($E359="","",IFERROR(INDEX('Food Library'!$D$6:$D$105,MATCH($E359,'Food Library'!$A$6:$A$105,0)),""))</f>
        <v/>
      </c>
      <c r="H359" s="20"/>
      <c r="I359" s="20"/>
      <c r="J359" s="20"/>
      <c r="K359" s="20"/>
      <c r="L359" s="21"/>
    </row>
    <row r="360" customFormat="false" ht="15" hidden="false" customHeight="false" outlineLevel="0" collapsed="false">
      <c r="A360" s="20"/>
      <c r="B360" s="30"/>
      <c r="C360" s="20"/>
      <c r="D360" s="22"/>
      <c r="E360" s="20"/>
      <c r="F360" s="31" t="str">
        <f aca="false">IF($E360="","",IFERROR(INDEX('Food Library'!$B$6:$B$105,MATCH($E360,'Food Library'!$A$6:$A$105,0)),"?? code not in Library"))</f>
        <v/>
      </c>
      <c r="G360" s="32" t="str">
        <f aca="false">IF($E360="","",IFERROR(INDEX('Food Library'!$D$6:$D$105,MATCH($E360,'Food Library'!$A$6:$A$105,0)),""))</f>
        <v/>
      </c>
      <c r="H360" s="20"/>
      <c r="I360" s="20"/>
      <c r="J360" s="20"/>
      <c r="K360" s="20"/>
      <c r="L360" s="21"/>
    </row>
    <row r="361" customFormat="false" ht="15" hidden="false" customHeight="false" outlineLevel="0" collapsed="false">
      <c r="A361" s="20"/>
      <c r="B361" s="30"/>
      <c r="C361" s="20"/>
      <c r="D361" s="22"/>
      <c r="E361" s="20"/>
      <c r="F361" s="31" t="str">
        <f aca="false">IF($E361="","",IFERROR(INDEX('Food Library'!$B$6:$B$105,MATCH($E361,'Food Library'!$A$6:$A$105,0)),"?? code not in Library"))</f>
        <v/>
      </c>
      <c r="G361" s="32" t="str">
        <f aca="false">IF($E361="","",IFERROR(INDEX('Food Library'!$D$6:$D$105,MATCH($E361,'Food Library'!$A$6:$A$105,0)),""))</f>
        <v/>
      </c>
      <c r="H361" s="20"/>
      <c r="I361" s="20"/>
      <c r="J361" s="20"/>
      <c r="K361" s="20"/>
      <c r="L361" s="21"/>
    </row>
    <row r="362" customFormat="false" ht="15" hidden="false" customHeight="false" outlineLevel="0" collapsed="false">
      <c r="A362" s="20"/>
      <c r="B362" s="30"/>
      <c r="C362" s="20"/>
      <c r="D362" s="22"/>
      <c r="E362" s="20"/>
      <c r="F362" s="31" t="str">
        <f aca="false">IF($E362="","",IFERROR(INDEX('Food Library'!$B$6:$B$105,MATCH($E362,'Food Library'!$A$6:$A$105,0)),"?? code not in Library"))</f>
        <v/>
      </c>
      <c r="G362" s="32" t="str">
        <f aca="false">IF($E362="","",IFERROR(INDEX('Food Library'!$D$6:$D$105,MATCH($E362,'Food Library'!$A$6:$A$105,0)),""))</f>
        <v/>
      </c>
      <c r="H362" s="20"/>
      <c r="I362" s="20"/>
      <c r="J362" s="20"/>
      <c r="K362" s="20"/>
      <c r="L362" s="21"/>
    </row>
    <row r="363" customFormat="false" ht="15" hidden="false" customHeight="false" outlineLevel="0" collapsed="false">
      <c r="A363" s="20"/>
      <c r="B363" s="30"/>
      <c r="C363" s="20"/>
      <c r="D363" s="22"/>
      <c r="E363" s="20"/>
      <c r="F363" s="31" t="str">
        <f aca="false">IF($E363="","",IFERROR(INDEX('Food Library'!$B$6:$B$105,MATCH($E363,'Food Library'!$A$6:$A$105,0)),"?? code not in Library"))</f>
        <v/>
      </c>
      <c r="G363" s="32" t="str">
        <f aca="false">IF($E363="","",IFERROR(INDEX('Food Library'!$D$6:$D$105,MATCH($E363,'Food Library'!$A$6:$A$105,0)),""))</f>
        <v/>
      </c>
      <c r="H363" s="20"/>
      <c r="I363" s="20"/>
      <c r="J363" s="20"/>
      <c r="K363" s="20"/>
      <c r="L363" s="21"/>
    </row>
    <row r="364" customFormat="false" ht="15" hidden="false" customHeight="false" outlineLevel="0" collapsed="false">
      <c r="A364" s="20"/>
      <c r="B364" s="30"/>
      <c r="C364" s="20"/>
      <c r="D364" s="22"/>
      <c r="E364" s="20"/>
      <c r="F364" s="31" t="str">
        <f aca="false">IF($E364="","",IFERROR(INDEX('Food Library'!$B$6:$B$105,MATCH($E364,'Food Library'!$A$6:$A$105,0)),"?? code not in Library"))</f>
        <v/>
      </c>
      <c r="G364" s="32" t="str">
        <f aca="false">IF($E364="","",IFERROR(INDEX('Food Library'!$D$6:$D$105,MATCH($E364,'Food Library'!$A$6:$A$105,0)),""))</f>
        <v/>
      </c>
      <c r="H364" s="20"/>
      <c r="I364" s="20"/>
      <c r="J364" s="20"/>
      <c r="K364" s="20"/>
      <c r="L364" s="21"/>
    </row>
    <row r="365" customFormat="false" ht="15" hidden="false" customHeight="false" outlineLevel="0" collapsed="false">
      <c r="A365" s="20"/>
      <c r="B365" s="30"/>
      <c r="C365" s="20"/>
      <c r="D365" s="22"/>
      <c r="E365" s="20"/>
      <c r="F365" s="31" t="str">
        <f aca="false">IF($E365="","",IFERROR(INDEX('Food Library'!$B$6:$B$105,MATCH($E365,'Food Library'!$A$6:$A$105,0)),"?? code not in Library"))</f>
        <v/>
      </c>
      <c r="G365" s="32" t="str">
        <f aca="false">IF($E365="","",IFERROR(INDEX('Food Library'!$D$6:$D$105,MATCH($E365,'Food Library'!$A$6:$A$105,0)),""))</f>
        <v/>
      </c>
      <c r="H365" s="20"/>
      <c r="I365" s="20"/>
      <c r="J365" s="20"/>
      <c r="K365" s="20"/>
      <c r="L365" s="21"/>
    </row>
    <row r="366" customFormat="false" ht="15" hidden="false" customHeight="false" outlineLevel="0" collapsed="false">
      <c r="A366" s="20"/>
      <c r="B366" s="30"/>
      <c r="C366" s="20"/>
      <c r="D366" s="22"/>
      <c r="E366" s="20"/>
      <c r="F366" s="31" t="str">
        <f aca="false">IF($E366="","",IFERROR(INDEX('Food Library'!$B$6:$B$105,MATCH($E366,'Food Library'!$A$6:$A$105,0)),"?? code not in Library"))</f>
        <v/>
      </c>
      <c r="G366" s="32" t="str">
        <f aca="false">IF($E366="","",IFERROR(INDEX('Food Library'!$D$6:$D$105,MATCH($E366,'Food Library'!$A$6:$A$105,0)),""))</f>
        <v/>
      </c>
      <c r="H366" s="20"/>
      <c r="I366" s="20"/>
      <c r="J366" s="20"/>
      <c r="K366" s="20"/>
      <c r="L366" s="21"/>
    </row>
    <row r="367" customFormat="false" ht="15" hidden="false" customHeight="false" outlineLevel="0" collapsed="false">
      <c r="A367" s="20"/>
      <c r="B367" s="30"/>
      <c r="C367" s="20"/>
      <c r="D367" s="22"/>
      <c r="E367" s="20"/>
      <c r="F367" s="31" t="str">
        <f aca="false">IF($E367="","",IFERROR(INDEX('Food Library'!$B$6:$B$105,MATCH($E367,'Food Library'!$A$6:$A$105,0)),"?? code not in Library"))</f>
        <v/>
      </c>
      <c r="G367" s="32" t="str">
        <f aca="false">IF($E367="","",IFERROR(INDEX('Food Library'!$D$6:$D$105,MATCH($E367,'Food Library'!$A$6:$A$105,0)),""))</f>
        <v/>
      </c>
      <c r="H367" s="20"/>
      <c r="I367" s="20"/>
      <c r="J367" s="20"/>
      <c r="K367" s="20"/>
      <c r="L367" s="21"/>
    </row>
    <row r="368" customFormat="false" ht="15" hidden="false" customHeight="false" outlineLevel="0" collapsed="false">
      <c r="A368" s="20"/>
      <c r="B368" s="30"/>
      <c r="C368" s="20"/>
      <c r="D368" s="22"/>
      <c r="E368" s="20"/>
      <c r="F368" s="31" t="str">
        <f aca="false">IF($E368="","",IFERROR(INDEX('Food Library'!$B$6:$B$105,MATCH($E368,'Food Library'!$A$6:$A$105,0)),"?? code not in Library"))</f>
        <v/>
      </c>
      <c r="G368" s="32" t="str">
        <f aca="false">IF($E368="","",IFERROR(INDEX('Food Library'!$D$6:$D$105,MATCH($E368,'Food Library'!$A$6:$A$105,0)),""))</f>
        <v/>
      </c>
      <c r="H368" s="20"/>
      <c r="I368" s="20"/>
      <c r="J368" s="20"/>
      <c r="K368" s="20"/>
      <c r="L368" s="21"/>
    </row>
    <row r="369" customFormat="false" ht="15" hidden="false" customHeight="false" outlineLevel="0" collapsed="false">
      <c r="A369" s="20"/>
      <c r="B369" s="30"/>
      <c r="C369" s="20"/>
      <c r="D369" s="22"/>
      <c r="E369" s="20"/>
      <c r="F369" s="31" t="str">
        <f aca="false">IF($E369="","",IFERROR(INDEX('Food Library'!$B$6:$B$105,MATCH($E369,'Food Library'!$A$6:$A$105,0)),"?? code not in Library"))</f>
        <v/>
      </c>
      <c r="G369" s="32" t="str">
        <f aca="false">IF($E369="","",IFERROR(INDEX('Food Library'!$D$6:$D$105,MATCH($E369,'Food Library'!$A$6:$A$105,0)),""))</f>
        <v/>
      </c>
      <c r="H369" s="20"/>
      <c r="I369" s="20"/>
      <c r="J369" s="20"/>
      <c r="K369" s="20"/>
      <c r="L369" s="21"/>
    </row>
    <row r="370" customFormat="false" ht="15" hidden="false" customHeight="false" outlineLevel="0" collapsed="false">
      <c r="A370" s="20"/>
      <c r="B370" s="30"/>
      <c r="C370" s="20"/>
      <c r="D370" s="22"/>
      <c r="E370" s="20"/>
      <c r="F370" s="31" t="str">
        <f aca="false">IF($E370="","",IFERROR(INDEX('Food Library'!$B$6:$B$105,MATCH($E370,'Food Library'!$A$6:$A$105,0)),"?? code not in Library"))</f>
        <v/>
      </c>
      <c r="G370" s="32" t="str">
        <f aca="false">IF($E370="","",IFERROR(INDEX('Food Library'!$D$6:$D$105,MATCH($E370,'Food Library'!$A$6:$A$105,0)),""))</f>
        <v/>
      </c>
      <c r="H370" s="20"/>
      <c r="I370" s="20"/>
      <c r="J370" s="20"/>
      <c r="K370" s="20"/>
      <c r="L370" s="21"/>
    </row>
    <row r="371" customFormat="false" ht="15" hidden="false" customHeight="false" outlineLevel="0" collapsed="false">
      <c r="A371" s="20"/>
      <c r="B371" s="30"/>
      <c r="C371" s="20"/>
      <c r="D371" s="22"/>
      <c r="E371" s="20"/>
      <c r="F371" s="31" t="str">
        <f aca="false">IF($E371="","",IFERROR(INDEX('Food Library'!$B$6:$B$105,MATCH($E371,'Food Library'!$A$6:$A$105,0)),"?? code not in Library"))</f>
        <v/>
      </c>
      <c r="G371" s="32" t="str">
        <f aca="false">IF($E371="","",IFERROR(INDEX('Food Library'!$D$6:$D$105,MATCH($E371,'Food Library'!$A$6:$A$105,0)),""))</f>
        <v/>
      </c>
      <c r="H371" s="20"/>
      <c r="I371" s="20"/>
      <c r="J371" s="20"/>
      <c r="K371" s="20"/>
      <c r="L371" s="21"/>
    </row>
    <row r="372" customFormat="false" ht="15" hidden="false" customHeight="false" outlineLevel="0" collapsed="false">
      <c r="A372" s="20"/>
      <c r="B372" s="30"/>
      <c r="C372" s="20"/>
      <c r="D372" s="22"/>
      <c r="E372" s="20"/>
      <c r="F372" s="31" t="str">
        <f aca="false">IF($E372="","",IFERROR(INDEX('Food Library'!$B$6:$B$105,MATCH($E372,'Food Library'!$A$6:$A$105,0)),"?? code not in Library"))</f>
        <v/>
      </c>
      <c r="G372" s="32" t="str">
        <f aca="false">IF($E372="","",IFERROR(INDEX('Food Library'!$D$6:$D$105,MATCH($E372,'Food Library'!$A$6:$A$105,0)),""))</f>
        <v/>
      </c>
      <c r="H372" s="20"/>
      <c r="I372" s="20"/>
      <c r="J372" s="20"/>
      <c r="K372" s="20"/>
      <c r="L372" s="21"/>
    </row>
    <row r="373" customFormat="false" ht="15" hidden="false" customHeight="false" outlineLevel="0" collapsed="false">
      <c r="A373" s="20"/>
      <c r="B373" s="30"/>
      <c r="C373" s="20"/>
      <c r="D373" s="22"/>
      <c r="E373" s="20"/>
      <c r="F373" s="31" t="str">
        <f aca="false">IF($E373="","",IFERROR(INDEX('Food Library'!$B$6:$B$105,MATCH($E373,'Food Library'!$A$6:$A$105,0)),"?? code not in Library"))</f>
        <v/>
      </c>
      <c r="G373" s="32" t="str">
        <f aca="false">IF($E373="","",IFERROR(INDEX('Food Library'!$D$6:$D$105,MATCH($E373,'Food Library'!$A$6:$A$105,0)),""))</f>
        <v/>
      </c>
      <c r="H373" s="20"/>
      <c r="I373" s="20"/>
      <c r="J373" s="20"/>
      <c r="K373" s="20"/>
      <c r="L373" s="21"/>
    </row>
    <row r="374" customFormat="false" ht="15" hidden="false" customHeight="false" outlineLevel="0" collapsed="false">
      <c r="A374" s="20"/>
      <c r="B374" s="30"/>
      <c r="C374" s="20"/>
      <c r="D374" s="22"/>
      <c r="E374" s="20"/>
      <c r="F374" s="31" t="str">
        <f aca="false">IF($E374="","",IFERROR(INDEX('Food Library'!$B$6:$B$105,MATCH($E374,'Food Library'!$A$6:$A$105,0)),"?? code not in Library"))</f>
        <v/>
      </c>
      <c r="G374" s="32" t="str">
        <f aca="false">IF($E374="","",IFERROR(INDEX('Food Library'!$D$6:$D$105,MATCH($E374,'Food Library'!$A$6:$A$105,0)),""))</f>
        <v/>
      </c>
      <c r="H374" s="20"/>
      <c r="I374" s="20"/>
      <c r="J374" s="20"/>
      <c r="K374" s="20"/>
      <c r="L374" s="21"/>
    </row>
    <row r="375" customFormat="false" ht="15" hidden="false" customHeight="false" outlineLevel="0" collapsed="false">
      <c r="A375" s="20"/>
      <c r="B375" s="30"/>
      <c r="C375" s="20"/>
      <c r="D375" s="22"/>
      <c r="E375" s="20"/>
      <c r="F375" s="31" t="str">
        <f aca="false">IF($E375="","",IFERROR(INDEX('Food Library'!$B$6:$B$105,MATCH($E375,'Food Library'!$A$6:$A$105,0)),"?? code not in Library"))</f>
        <v/>
      </c>
      <c r="G375" s="32" t="str">
        <f aca="false">IF($E375="","",IFERROR(INDEX('Food Library'!$D$6:$D$105,MATCH($E375,'Food Library'!$A$6:$A$105,0)),""))</f>
        <v/>
      </c>
      <c r="H375" s="20"/>
      <c r="I375" s="20"/>
      <c r="J375" s="20"/>
      <c r="K375" s="20"/>
      <c r="L375" s="21"/>
    </row>
    <row r="376" customFormat="false" ht="15" hidden="false" customHeight="false" outlineLevel="0" collapsed="false">
      <c r="A376" s="20"/>
      <c r="B376" s="30"/>
      <c r="C376" s="20"/>
      <c r="D376" s="22"/>
      <c r="E376" s="20"/>
      <c r="F376" s="31" t="str">
        <f aca="false">IF($E376="","",IFERROR(INDEX('Food Library'!$B$6:$B$105,MATCH($E376,'Food Library'!$A$6:$A$105,0)),"?? code not in Library"))</f>
        <v/>
      </c>
      <c r="G376" s="32" t="str">
        <f aca="false">IF($E376="","",IFERROR(INDEX('Food Library'!$D$6:$D$105,MATCH($E376,'Food Library'!$A$6:$A$105,0)),""))</f>
        <v/>
      </c>
      <c r="H376" s="20"/>
      <c r="I376" s="20"/>
      <c r="J376" s="20"/>
      <c r="K376" s="20"/>
      <c r="L376" s="21"/>
    </row>
    <row r="377" customFormat="false" ht="15" hidden="false" customHeight="false" outlineLevel="0" collapsed="false">
      <c r="A377" s="20"/>
      <c r="B377" s="30"/>
      <c r="C377" s="20"/>
      <c r="D377" s="22"/>
      <c r="E377" s="20"/>
      <c r="F377" s="31" t="str">
        <f aca="false">IF($E377="","",IFERROR(INDEX('Food Library'!$B$6:$B$105,MATCH($E377,'Food Library'!$A$6:$A$105,0)),"?? code not in Library"))</f>
        <v/>
      </c>
      <c r="G377" s="32" t="str">
        <f aca="false">IF($E377="","",IFERROR(INDEX('Food Library'!$D$6:$D$105,MATCH($E377,'Food Library'!$A$6:$A$105,0)),""))</f>
        <v/>
      </c>
      <c r="H377" s="20"/>
      <c r="I377" s="20"/>
      <c r="J377" s="20"/>
      <c r="K377" s="20"/>
      <c r="L377" s="21"/>
    </row>
    <row r="378" customFormat="false" ht="15" hidden="false" customHeight="false" outlineLevel="0" collapsed="false">
      <c r="A378" s="20"/>
      <c r="B378" s="30"/>
      <c r="C378" s="20"/>
      <c r="D378" s="22"/>
      <c r="E378" s="20"/>
      <c r="F378" s="31" t="str">
        <f aca="false">IF($E378="","",IFERROR(INDEX('Food Library'!$B$6:$B$105,MATCH($E378,'Food Library'!$A$6:$A$105,0)),"?? code not in Library"))</f>
        <v/>
      </c>
      <c r="G378" s="32" t="str">
        <f aca="false">IF($E378="","",IFERROR(INDEX('Food Library'!$D$6:$D$105,MATCH($E378,'Food Library'!$A$6:$A$105,0)),""))</f>
        <v/>
      </c>
      <c r="H378" s="20"/>
      <c r="I378" s="20"/>
      <c r="J378" s="20"/>
      <c r="K378" s="20"/>
      <c r="L378" s="21"/>
    </row>
    <row r="379" customFormat="false" ht="15" hidden="false" customHeight="false" outlineLevel="0" collapsed="false">
      <c r="A379" s="20"/>
      <c r="B379" s="30"/>
      <c r="C379" s="20"/>
      <c r="D379" s="22"/>
      <c r="E379" s="20"/>
      <c r="F379" s="31" t="str">
        <f aca="false">IF($E379="","",IFERROR(INDEX('Food Library'!$B$6:$B$105,MATCH($E379,'Food Library'!$A$6:$A$105,0)),"?? code not in Library"))</f>
        <v/>
      </c>
      <c r="G379" s="32" t="str">
        <f aca="false">IF($E379="","",IFERROR(INDEX('Food Library'!$D$6:$D$105,MATCH($E379,'Food Library'!$A$6:$A$105,0)),""))</f>
        <v/>
      </c>
      <c r="H379" s="20"/>
      <c r="I379" s="20"/>
      <c r="J379" s="20"/>
      <c r="K379" s="20"/>
      <c r="L379" s="21"/>
    </row>
    <row r="380" customFormat="false" ht="15" hidden="false" customHeight="false" outlineLevel="0" collapsed="false">
      <c r="A380" s="20"/>
      <c r="B380" s="30"/>
      <c r="C380" s="20"/>
      <c r="D380" s="22"/>
      <c r="E380" s="20"/>
      <c r="F380" s="31" t="str">
        <f aca="false">IF($E380="","",IFERROR(INDEX('Food Library'!$B$6:$B$105,MATCH($E380,'Food Library'!$A$6:$A$105,0)),"?? code not in Library"))</f>
        <v/>
      </c>
      <c r="G380" s="32" t="str">
        <f aca="false">IF($E380="","",IFERROR(INDEX('Food Library'!$D$6:$D$105,MATCH($E380,'Food Library'!$A$6:$A$105,0)),""))</f>
        <v/>
      </c>
      <c r="H380" s="20"/>
      <c r="I380" s="20"/>
      <c r="J380" s="20"/>
      <c r="K380" s="20"/>
      <c r="L380" s="21"/>
    </row>
    <row r="381" customFormat="false" ht="15" hidden="false" customHeight="false" outlineLevel="0" collapsed="false">
      <c r="A381" s="20"/>
      <c r="B381" s="30"/>
      <c r="C381" s="20"/>
      <c r="D381" s="22"/>
      <c r="E381" s="20"/>
      <c r="F381" s="31" t="str">
        <f aca="false">IF($E381="","",IFERROR(INDEX('Food Library'!$B$6:$B$105,MATCH($E381,'Food Library'!$A$6:$A$105,0)),"?? code not in Library"))</f>
        <v/>
      </c>
      <c r="G381" s="32" t="str">
        <f aca="false">IF($E381="","",IFERROR(INDEX('Food Library'!$D$6:$D$105,MATCH($E381,'Food Library'!$A$6:$A$105,0)),""))</f>
        <v/>
      </c>
      <c r="H381" s="20"/>
      <c r="I381" s="20"/>
      <c r="J381" s="20"/>
      <c r="K381" s="20"/>
      <c r="L381" s="21"/>
    </row>
    <row r="382" customFormat="false" ht="15" hidden="false" customHeight="false" outlineLevel="0" collapsed="false">
      <c r="A382" s="20"/>
      <c r="B382" s="30"/>
      <c r="C382" s="20"/>
      <c r="D382" s="22"/>
      <c r="E382" s="20"/>
      <c r="F382" s="31" t="str">
        <f aca="false">IF($E382="","",IFERROR(INDEX('Food Library'!$B$6:$B$105,MATCH($E382,'Food Library'!$A$6:$A$105,0)),"?? code not in Library"))</f>
        <v/>
      </c>
      <c r="G382" s="32" t="str">
        <f aca="false">IF($E382="","",IFERROR(INDEX('Food Library'!$D$6:$D$105,MATCH($E382,'Food Library'!$A$6:$A$105,0)),""))</f>
        <v/>
      </c>
      <c r="H382" s="20"/>
      <c r="I382" s="20"/>
      <c r="J382" s="20"/>
      <c r="K382" s="20"/>
      <c r="L382" s="21"/>
    </row>
    <row r="383" customFormat="false" ht="15" hidden="false" customHeight="false" outlineLevel="0" collapsed="false">
      <c r="A383" s="20"/>
      <c r="B383" s="30"/>
      <c r="C383" s="20"/>
      <c r="D383" s="22"/>
      <c r="E383" s="20"/>
      <c r="F383" s="31" t="str">
        <f aca="false">IF($E383="","",IFERROR(INDEX('Food Library'!$B$6:$B$105,MATCH($E383,'Food Library'!$A$6:$A$105,0)),"?? code not in Library"))</f>
        <v/>
      </c>
      <c r="G383" s="32" t="str">
        <f aca="false">IF($E383="","",IFERROR(INDEX('Food Library'!$D$6:$D$105,MATCH($E383,'Food Library'!$A$6:$A$105,0)),""))</f>
        <v/>
      </c>
      <c r="H383" s="20"/>
      <c r="I383" s="20"/>
      <c r="J383" s="20"/>
      <c r="K383" s="20"/>
      <c r="L383" s="21"/>
    </row>
    <row r="384" customFormat="false" ht="15" hidden="false" customHeight="false" outlineLevel="0" collapsed="false">
      <c r="A384" s="20"/>
      <c r="B384" s="30"/>
      <c r="C384" s="20"/>
      <c r="D384" s="22"/>
      <c r="E384" s="20"/>
      <c r="F384" s="31" t="str">
        <f aca="false">IF($E384="","",IFERROR(INDEX('Food Library'!$B$6:$B$105,MATCH($E384,'Food Library'!$A$6:$A$105,0)),"?? code not in Library"))</f>
        <v/>
      </c>
      <c r="G384" s="32" t="str">
        <f aca="false">IF($E384="","",IFERROR(INDEX('Food Library'!$D$6:$D$105,MATCH($E384,'Food Library'!$A$6:$A$105,0)),""))</f>
        <v/>
      </c>
      <c r="H384" s="20"/>
      <c r="I384" s="20"/>
      <c r="J384" s="20"/>
      <c r="K384" s="20"/>
      <c r="L384" s="21"/>
    </row>
    <row r="385" customFormat="false" ht="15" hidden="false" customHeight="false" outlineLevel="0" collapsed="false">
      <c r="A385" s="20"/>
      <c r="B385" s="30"/>
      <c r="C385" s="20"/>
      <c r="D385" s="22"/>
      <c r="E385" s="20"/>
      <c r="F385" s="31" t="str">
        <f aca="false">IF($E385="","",IFERROR(INDEX('Food Library'!$B$6:$B$105,MATCH($E385,'Food Library'!$A$6:$A$105,0)),"?? code not in Library"))</f>
        <v/>
      </c>
      <c r="G385" s="32" t="str">
        <f aca="false">IF($E385="","",IFERROR(INDEX('Food Library'!$D$6:$D$105,MATCH($E385,'Food Library'!$A$6:$A$105,0)),""))</f>
        <v/>
      </c>
      <c r="H385" s="20"/>
      <c r="I385" s="20"/>
      <c r="J385" s="20"/>
      <c r="K385" s="20"/>
      <c r="L385" s="21"/>
    </row>
    <row r="386" customFormat="false" ht="15" hidden="false" customHeight="false" outlineLevel="0" collapsed="false">
      <c r="A386" s="20"/>
      <c r="B386" s="30"/>
      <c r="C386" s="20"/>
      <c r="D386" s="22"/>
      <c r="E386" s="20"/>
      <c r="F386" s="31" t="str">
        <f aca="false">IF($E386="","",IFERROR(INDEX('Food Library'!$B$6:$B$105,MATCH($E386,'Food Library'!$A$6:$A$105,0)),"?? code not in Library"))</f>
        <v/>
      </c>
      <c r="G386" s="32" t="str">
        <f aca="false">IF($E386="","",IFERROR(INDEX('Food Library'!$D$6:$D$105,MATCH($E386,'Food Library'!$A$6:$A$105,0)),""))</f>
        <v/>
      </c>
      <c r="H386" s="20"/>
      <c r="I386" s="20"/>
      <c r="J386" s="20"/>
      <c r="K386" s="20"/>
      <c r="L386" s="21"/>
    </row>
    <row r="387" customFormat="false" ht="15" hidden="false" customHeight="false" outlineLevel="0" collapsed="false">
      <c r="A387" s="20"/>
      <c r="B387" s="30"/>
      <c r="C387" s="20"/>
      <c r="D387" s="22"/>
      <c r="E387" s="20"/>
      <c r="F387" s="31" t="str">
        <f aca="false">IF($E387="","",IFERROR(INDEX('Food Library'!$B$6:$B$105,MATCH($E387,'Food Library'!$A$6:$A$105,0)),"?? code not in Library"))</f>
        <v/>
      </c>
      <c r="G387" s="32" t="str">
        <f aca="false">IF($E387="","",IFERROR(INDEX('Food Library'!$D$6:$D$105,MATCH($E387,'Food Library'!$A$6:$A$105,0)),""))</f>
        <v/>
      </c>
      <c r="H387" s="20"/>
      <c r="I387" s="20"/>
      <c r="J387" s="20"/>
      <c r="K387" s="20"/>
      <c r="L387" s="21"/>
    </row>
    <row r="388" customFormat="false" ht="15" hidden="false" customHeight="false" outlineLevel="0" collapsed="false">
      <c r="A388" s="20"/>
      <c r="B388" s="30"/>
      <c r="C388" s="20"/>
      <c r="D388" s="22"/>
      <c r="E388" s="20"/>
      <c r="F388" s="31" t="str">
        <f aca="false">IF($E388="","",IFERROR(INDEX('Food Library'!$B$6:$B$105,MATCH($E388,'Food Library'!$A$6:$A$105,0)),"?? code not in Library"))</f>
        <v/>
      </c>
      <c r="G388" s="32" t="str">
        <f aca="false">IF($E388="","",IFERROR(INDEX('Food Library'!$D$6:$D$105,MATCH($E388,'Food Library'!$A$6:$A$105,0)),""))</f>
        <v/>
      </c>
      <c r="H388" s="20"/>
      <c r="I388" s="20"/>
      <c r="J388" s="20"/>
      <c r="K388" s="20"/>
      <c r="L388" s="21"/>
    </row>
    <row r="389" customFormat="false" ht="15" hidden="false" customHeight="false" outlineLevel="0" collapsed="false">
      <c r="A389" s="20"/>
      <c r="B389" s="30"/>
      <c r="C389" s="20"/>
      <c r="D389" s="22"/>
      <c r="E389" s="20"/>
      <c r="F389" s="31" t="str">
        <f aca="false">IF($E389="","",IFERROR(INDEX('Food Library'!$B$6:$B$105,MATCH($E389,'Food Library'!$A$6:$A$105,0)),"?? code not in Library"))</f>
        <v/>
      </c>
      <c r="G389" s="32" t="str">
        <f aca="false">IF($E389="","",IFERROR(INDEX('Food Library'!$D$6:$D$105,MATCH($E389,'Food Library'!$A$6:$A$105,0)),""))</f>
        <v/>
      </c>
      <c r="H389" s="20"/>
      <c r="I389" s="20"/>
      <c r="J389" s="20"/>
      <c r="K389" s="20"/>
      <c r="L389" s="21"/>
    </row>
    <row r="390" customFormat="false" ht="15" hidden="false" customHeight="false" outlineLevel="0" collapsed="false">
      <c r="A390" s="20"/>
      <c r="B390" s="30"/>
      <c r="C390" s="20"/>
      <c r="D390" s="22"/>
      <c r="E390" s="20"/>
      <c r="F390" s="31" t="str">
        <f aca="false">IF($E390="","",IFERROR(INDEX('Food Library'!$B$6:$B$105,MATCH($E390,'Food Library'!$A$6:$A$105,0)),"?? code not in Library"))</f>
        <v/>
      </c>
      <c r="G390" s="32" t="str">
        <f aca="false">IF($E390="","",IFERROR(INDEX('Food Library'!$D$6:$D$105,MATCH($E390,'Food Library'!$A$6:$A$105,0)),""))</f>
        <v/>
      </c>
      <c r="H390" s="20"/>
      <c r="I390" s="20"/>
      <c r="J390" s="20"/>
      <c r="K390" s="20"/>
      <c r="L390" s="21"/>
    </row>
    <row r="391" customFormat="false" ht="15" hidden="false" customHeight="false" outlineLevel="0" collapsed="false">
      <c r="A391" s="20"/>
      <c r="B391" s="30"/>
      <c r="C391" s="20"/>
      <c r="D391" s="22"/>
      <c r="E391" s="20"/>
      <c r="F391" s="31" t="str">
        <f aca="false">IF($E391="","",IFERROR(INDEX('Food Library'!$B$6:$B$105,MATCH($E391,'Food Library'!$A$6:$A$105,0)),"?? code not in Library"))</f>
        <v/>
      </c>
      <c r="G391" s="32" t="str">
        <f aca="false">IF($E391="","",IFERROR(INDEX('Food Library'!$D$6:$D$105,MATCH($E391,'Food Library'!$A$6:$A$105,0)),""))</f>
        <v/>
      </c>
      <c r="H391" s="20"/>
      <c r="I391" s="20"/>
      <c r="J391" s="20"/>
      <c r="K391" s="20"/>
      <c r="L391" s="21"/>
    </row>
    <row r="392" customFormat="false" ht="15" hidden="false" customHeight="false" outlineLevel="0" collapsed="false">
      <c r="A392" s="20"/>
      <c r="B392" s="30"/>
      <c r="C392" s="20"/>
      <c r="D392" s="22"/>
      <c r="E392" s="20"/>
      <c r="F392" s="31" t="str">
        <f aca="false">IF($E392="","",IFERROR(INDEX('Food Library'!$B$6:$B$105,MATCH($E392,'Food Library'!$A$6:$A$105,0)),"?? code not in Library"))</f>
        <v/>
      </c>
      <c r="G392" s="32" t="str">
        <f aca="false">IF($E392="","",IFERROR(INDEX('Food Library'!$D$6:$D$105,MATCH($E392,'Food Library'!$A$6:$A$105,0)),""))</f>
        <v/>
      </c>
      <c r="H392" s="20"/>
      <c r="I392" s="20"/>
      <c r="J392" s="20"/>
      <c r="K392" s="20"/>
      <c r="L392" s="21"/>
    </row>
    <row r="393" customFormat="false" ht="15" hidden="false" customHeight="false" outlineLevel="0" collapsed="false">
      <c r="A393" s="20"/>
      <c r="B393" s="30"/>
      <c r="C393" s="20"/>
      <c r="D393" s="22"/>
      <c r="E393" s="20"/>
      <c r="F393" s="31" t="str">
        <f aca="false">IF($E393="","",IFERROR(INDEX('Food Library'!$B$6:$B$105,MATCH($E393,'Food Library'!$A$6:$A$105,0)),"?? code not in Library"))</f>
        <v/>
      </c>
      <c r="G393" s="32" t="str">
        <f aca="false">IF($E393="","",IFERROR(INDEX('Food Library'!$D$6:$D$105,MATCH($E393,'Food Library'!$A$6:$A$105,0)),""))</f>
        <v/>
      </c>
      <c r="H393" s="20"/>
      <c r="I393" s="20"/>
      <c r="J393" s="20"/>
      <c r="K393" s="20"/>
      <c r="L393" s="21"/>
    </row>
    <row r="394" customFormat="false" ht="15" hidden="false" customHeight="false" outlineLevel="0" collapsed="false">
      <c r="A394" s="20"/>
      <c r="B394" s="30"/>
      <c r="C394" s="20"/>
      <c r="D394" s="22"/>
      <c r="E394" s="20"/>
      <c r="F394" s="31" t="str">
        <f aca="false">IF($E394="","",IFERROR(INDEX('Food Library'!$B$6:$B$105,MATCH($E394,'Food Library'!$A$6:$A$105,0)),"?? code not in Library"))</f>
        <v/>
      </c>
      <c r="G394" s="32" t="str">
        <f aca="false">IF($E394="","",IFERROR(INDEX('Food Library'!$D$6:$D$105,MATCH($E394,'Food Library'!$A$6:$A$105,0)),""))</f>
        <v/>
      </c>
      <c r="H394" s="20"/>
      <c r="I394" s="20"/>
      <c r="J394" s="20"/>
      <c r="K394" s="20"/>
      <c r="L394" s="21"/>
    </row>
    <row r="395" customFormat="false" ht="15" hidden="false" customHeight="false" outlineLevel="0" collapsed="false">
      <c r="A395" s="20"/>
      <c r="B395" s="30"/>
      <c r="C395" s="20"/>
      <c r="D395" s="22"/>
      <c r="E395" s="20"/>
      <c r="F395" s="31" t="str">
        <f aca="false">IF($E395="","",IFERROR(INDEX('Food Library'!$B$6:$B$105,MATCH($E395,'Food Library'!$A$6:$A$105,0)),"?? code not in Library"))</f>
        <v/>
      </c>
      <c r="G395" s="32" t="str">
        <f aca="false">IF($E395="","",IFERROR(INDEX('Food Library'!$D$6:$D$105,MATCH($E395,'Food Library'!$A$6:$A$105,0)),""))</f>
        <v/>
      </c>
      <c r="H395" s="20"/>
      <c r="I395" s="20"/>
      <c r="J395" s="20"/>
      <c r="K395" s="20"/>
      <c r="L395" s="21"/>
    </row>
    <row r="396" customFormat="false" ht="15" hidden="false" customHeight="false" outlineLevel="0" collapsed="false">
      <c r="A396" s="20"/>
      <c r="B396" s="30"/>
      <c r="C396" s="20"/>
      <c r="D396" s="22"/>
      <c r="E396" s="20"/>
      <c r="F396" s="31" t="str">
        <f aca="false">IF($E396="","",IFERROR(INDEX('Food Library'!$B$6:$B$105,MATCH($E396,'Food Library'!$A$6:$A$105,0)),"?? code not in Library"))</f>
        <v/>
      </c>
      <c r="G396" s="32" t="str">
        <f aca="false">IF($E396="","",IFERROR(INDEX('Food Library'!$D$6:$D$105,MATCH($E396,'Food Library'!$A$6:$A$105,0)),""))</f>
        <v/>
      </c>
      <c r="H396" s="20"/>
      <c r="I396" s="20"/>
      <c r="J396" s="20"/>
      <c r="K396" s="20"/>
      <c r="L396" s="21"/>
    </row>
    <row r="397" customFormat="false" ht="15" hidden="false" customHeight="false" outlineLevel="0" collapsed="false">
      <c r="A397" s="20"/>
      <c r="B397" s="30"/>
      <c r="C397" s="20"/>
      <c r="D397" s="22"/>
      <c r="E397" s="20"/>
      <c r="F397" s="31" t="str">
        <f aca="false">IF($E397="","",IFERROR(INDEX('Food Library'!$B$6:$B$105,MATCH($E397,'Food Library'!$A$6:$A$105,0)),"?? code not in Library"))</f>
        <v/>
      </c>
      <c r="G397" s="32" t="str">
        <f aca="false">IF($E397="","",IFERROR(INDEX('Food Library'!$D$6:$D$105,MATCH($E397,'Food Library'!$A$6:$A$105,0)),""))</f>
        <v/>
      </c>
      <c r="H397" s="20"/>
      <c r="I397" s="20"/>
      <c r="J397" s="20"/>
      <c r="K397" s="20"/>
      <c r="L397" s="21"/>
    </row>
    <row r="398" customFormat="false" ht="15" hidden="false" customHeight="false" outlineLevel="0" collapsed="false">
      <c r="A398" s="20"/>
      <c r="B398" s="30"/>
      <c r="C398" s="20"/>
      <c r="D398" s="22"/>
      <c r="E398" s="20"/>
      <c r="F398" s="31" t="str">
        <f aca="false">IF($E398="","",IFERROR(INDEX('Food Library'!$B$6:$B$105,MATCH($E398,'Food Library'!$A$6:$A$105,0)),"?? code not in Library"))</f>
        <v/>
      </c>
      <c r="G398" s="32" t="str">
        <f aca="false">IF($E398="","",IFERROR(INDEX('Food Library'!$D$6:$D$105,MATCH($E398,'Food Library'!$A$6:$A$105,0)),""))</f>
        <v/>
      </c>
      <c r="H398" s="20"/>
      <c r="I398" s="20"/>
      <c r="J398" s="20"/>
      <c r="K398" s="20"/>
      <c r="L398" s="21"/>
    </row>
    <row r="399" customFormat="false" ht="15" hidden="false" customHeight="false" outlineLevel="0" collapsed="false">
      <c r="A399" s="20"/>
      <c r="B399" s="30"/>
      <c r="C399" s="20"/>
      <c r="D399" s="22"/>
      <c r="E399" s="20"/>
      <c r="F399" s="31" t="str">
        <f aca="false">IF($E399="","",IFERROR(INDEX('Food Library'!$B$6:$B$105,MATCH($E399,'Food Library'!$A$6:$A$105,0)),"?? code not in Library"))</f>
        <v/>
      </c>
      <c r="G399" s="32" t="str">
        <f aca="false">IF($E399="","",IFERROR(INDEX('Food Library'!$D$6:$D$105,MATCH($E399,'Food Library'!$A$6:$A$105,0)),""))</f>
        <v/>
      </c>
      <c r="H399" s="20"/>
      <c r="I399" s="20"/>
      <c r="J399" s="20"/>
      <c r="K399" s="20"/>
      <c r="L399" s="21"/>
    </row>
    <row r="400" customFormat="false" ht="15" hidden="false" customHeight="false" outlineLevel="0" collapsed="false">
      <c r="A400" s="20"/>
      <c r="B400" s="30"/>
      <c r="C400" s="20"/>
      <c r="D400" s="22"/>
      <c r="E400" s="20"/>
      <c r="F400" s="31" t="str">
        <f aca="false">IF($E400="","",IFERROR(INDEX('Food Library'!$B$6:$B$105,MATCH($E400,'Food Library'!$A$6:$A$105,0)),"?? code not in Library"))</f>
        <v/>
      </c>
      <c r="G400" s="32" t="str">
        <f aca="false">IF($E400="","",IFERROR(INDEX('Food Library'!$D$6:$D$105,MATCH($E400,'Food Library'!$A$6:$A$105,0)),""))</f>
        <v/>
      </c>
      <c r="H400" s="20"/>
      <c r="I400" s="20"/>
      <c r="J400" s="20"/>
      <c r="K400" s="20"/>
      <c r="L400" s="21"/>
    </row>
    <row r="401" customFormat="false" ht="15" hidden="false" customHeight="false" outlineLevel="0" collapsed="false">
      <c r="A401" s="20"/>
      <c r="B401" s="30"/>
      <c r="C401" s="20"/>
      <c r="D401" s="22"/>
      <c r="E401" s="20"/>
      <c r="F401" s="31" t="str">
        <f aca="false">IF($E401="","",IFERROR(INDEX('Food Library'!$B$6:$B$105,MATCH($E401,'Food Library'!$A$6:$A$105,0)),"?? code not in Library"))</f>
        <v/>
      </c>
      <c r="G401" s="32" t="str">
        <f aca="false">IF($E401="","",IFERROR(INDEX('Food Library'!$D$6:$D$105,MATCH($E401,'Food Library'!$A$6:$A$105,0)),""))</f>
        <v/>
      </c>
      <c r="H401" s="20"/>
      <c r="I401" s="20"/>
      <c r="J401" s="20"/>
      <c r="K401" s="20"/>
      <c r="L401" s="21"/>
    </row>
    <row r="402" customFormat="false" ht="15" hidden="false" customHeight="false" outlineLevel="0" collapsed="false">
      <c r="A402" s="20"/>
      <c r="B402" s="30"/>
      <c r="C402" s="20"/>
      <c r="D402" s="22"/>
      <c r="E402" s="20"/>
      <c r="F402" s="31" t="str">
        <f aca="false">IF($E402="","",IFERROR(INDEX('Food Library'!$B$6:$B$105,MATCH($E402,'Food Library'!$A$6:$A$105,0)),"?? code not in Library"))</f>
        <v/>
      </c>
      <c r="G402" s="32" t="str">
        <f aca="false">IF($E402="","",IFERROR(INDEX('Food Library'!$D$6:$D$105,MATCH($E402,'Food Library'!$A$6:$A$105,0)),""))</f>
        <v/>
      </c>
      <c r="H402" s="20"/>
      <c r="I402" s="20"/>
      <c r="J402" s="20"/>
      <c r="K402" s="20"/>
      <c r="L402" s="21"/>
    </row>
    <row r="403" customFormat="false" ht="15" hidden="false" customHeight="false" outlineLevel="0" collapsed="false">
      <c r="A403" s="20"/>
      <c r="B403" s="30"/>
      <c r="C403" s="20"/>
      <c r="D403" s="22"/>
      <c r="E403" s="20"/>
      <c r="F403" s="31" t="str">
        <f aca="false">IF($E403="","",IFERROR(INDEX('Food Library'!$B$6:$B$105,MATCH($E403,'Food Library'!$A$6:$A$105,0)),"?? code not in Library"))</f>
        <v/>
      </c>
      <c r="G403" s="32" t="str">
        <f aca="false">IF($E403="","",IFERROR(INDEX('Food Library'!$D$6:$D$105,MATCH($E403,'Food Library'!$A$6:$A$105,0)),""))</f>
        <v/>
      </c>
      <c r="H403" s="20"/>
      <c r="I403" s="20"/>
      <c r="J403" s="20"/>
      <c r="K403" s="20"/>
      <c r="L403" s="21"/>
    </row>
    <row r="404" customFormat="false" ht="15" hidden="false" customHeight="false" outlineLevel="0" collapsed="false">
      <c r="A404" s="20"/>
      <c r="B404" s="30"/>
      <c r="C404" s="20"/>
      <c r="D404" s="22"/>
      <c r="E404" s="20"/>
      <c r="F404" s="31" t="str">
        <f aca="false">IF($E404="","",IFERROR(INDEX('Food Library'!$B$6:$B$105,MATCH($E404,'Food Library'!$A$6:$A$105,0)),"?? code not in Library"))</f>
        <v/>
      </c>
      <c r="G404" s="32" t="str">
        <f aca="false">IF($E404="","",IFERROR(INDEX('Food Library'!$D$6:$D$105,MATCH($E404,'Food Library'!$A$6:$A$105,0)),""))</f>
        <v/>
      </c>
      <c r="H404" s="20"/>
      <c r="I404" s="20"/>
      <c r="J404" s="20"/>
      <c r="K404" s="20"/>
      <c r="L404" s="21"/>
    </row>
    <row r="405" customFormat="false" ht="15" hidden="false" customHeight="false" outlineLevel="0" collapsed="false">
      <c r="A405" s="20"/>
      <c r="B405" s="30"/>
      <c r="C405" s="20"/>
      <c r="D405" s="22"/>
      <c r="E405" s="20"/>
      <c r="F405" s="31" t="str">
        <f aca="false">IF($E405="","",IFERROR(INDEX('Food Library'!$B$6:$B$105,MATCH($E405,'Food Library'!$A$6:$A$105,0)),"?? code not in Library"))</f>
        <v/>
      </c>
      <c r="G405" s="32" t="str">
        <f aca="false">IF($E405="","",IFERROR(INDEX('Food Library'!$D$6:$D$105,MATCH($E405,'Food Library'!$A$6:$A$105,0)),""))</f>
        <v/>
      </c>
      <c r="H405" s="20"/>
      <c r="I405" s="20"/>
      <c r="J405" s="20"/>
      <c r="K405" s="20"/>
      <c r="L405" s="21"/>
    </row>
    <row r="406" customFormat="false" ht="15" hidden="false" customHeight="false" outlineLevel="0" collapsed="false">
      <c r="A406" s="20"/>
      <c r="B406" s="30"/>
      <c r="C406" s="20"/>
      <c r="D406" s="22"/>
      <c r="E406" s="20"/>
      <c r="F406" s="31" t="str">
        <f aca="false">IF($E406="","",IFERROR(INDEX('Food Library'!$B$6:$B$105,MATCH($E406,'Food Library'!$A$6:$A$105,0)),"?? code not in Library"))</f>
        <v/>
      </c>
      <c r="G406" s="32" t="str">
        <f aca="false">IF($E406="","",IFERROR(INDEX('Food Library'!$D$6:$D$105,MATCH($E406,'Food Library'!$A$6:$A$105,0)),""))</f>
        <v/>
      </c>
      <c r="H406" s="20"/>
      <c r="I406" s="20"/>
      <c r="J406" s="20"/>
      <c r="K406" s="20"/>
      <c r="L406" s="21"/>
    </row>
    <row r="407" customFormat="false" ht="15" hidden="false" customHeight="false" outlineLevel="0" collapsed="false">
      <c r="A407" s="20"/>
      <c r="B407" s="30"/>
      <c r="C407" s="20"/>
      <c r="D407" s="22"/>
      <c r="E407" s="20"/>
      <c r="F407" s="31" t="str">
        <f aca="false">IF($E407="","",IFERROR(INDEX('Food Library'!$B$6:$B$105,MATCH($E407,'Food Library'!$A$6:$A$105,0)),"?? code not in Library"))</f>
        <v/>
      </c>
      <c r="G407" s="32" t="str">
        <f aca="false">IF($E407="","",IFERROR(INDEX('Food Library'!$D$6:$D$105,MATCH($E407,'Food Library'!$A$6:$A$105,0)),""))</f>
        <v/>
      </c>
      <c r="H407" s="20"/>
      <c r="I407" s="20"/>
      <c r="J407" s="20"/>
      <c r="K407" s="20"/>
      <c r="L407" s="21"/>
    </row>
    <row r="408" customFormat="false" ht="15" hidden="false" customHeight="false" outlineLevel="0" collapsed="false">
      <c r="A408" s="20"/>
      <c r="B408" s="30"/>
      <c r="C408" s="20"/>
      <c r="D408" s="22"/>
      <c r="E408" s="20"/>
      <c r="F408" s="31" t="str">
        <f aca="false">IF($E408="","",IFERROR(INDEX('Food Library'!$B$6:$B$105,MATCH($E408,'Food Library'!$A$6:$A$105,0)),"?? code not in Library"))</f>
        <v/>
      </c>
      <c r="G408" s="32" t="str">
        <f aca="false">IF($E408="","",IFERROR(INDEX('Food Library'!$D$6:$D$105,MATCH($E408,'Food Library'!$A$6:$A$105,0)),""))</f>
        <v/>
      </c>
      <c r="H408" s="20"/>
      <c r="I408" s="20"/>
      <c r="J408" s="20"/>
      <c r="K408" s="20"/>
      <c r="L408" s="21"/>
    </row>
    <row r="409" customFormat="false" ht="15" hidden="false" customHeight="false" outlineLevel="0" collapsed="false">
      <c r="A409" s="20"/>
      <c r="B409" s="30"/>
      <c r="C409" s="20"/>
      <c r="D409" s="22"/>
      <c r="E409" s="20"/>
      <c r="F409" s="31" t="str">
        <f aca="false">IF($E409="","",IFERROR(INDEX('Food Library'!$B$6:$B$105,MATCH($E409,'Food Library'!$A$6:$A$105,0)),"?? code not in Library"))</f>
        <v/>
      </c>
      <c r="G409" s="32" t="str">
        <f aca="false">IF($E409="","",IFERROR(INDEX('Food Library'!$D$6:$D$105,MATCH($E409,'Food Library'!$A$6:$A$105,0)),""))</f>
        <v/>
      </c>
      <c r="H409" s="20"/>
      <c r="I409" s="20"/>
      <c r="J409" s="20"/>
      <c r="K409" s="20"/>
      <c r="L409" s="21"/>
    </row>
    <row r="410" customFormat="false" ht="15" hidden="false" customHeight="false" outlineLevel="0" collapsed="false">
      <c r="A410" s="20"/>
      <c r="B410" s="30"/>
      <c r="C410" s="20"/>
      <c r="D410" s="22"/>
      <c r="E410" s="20"/>
      <c r="F410" s="31" t="str">
        <f aca="false">IF($E410="","",IFERROR(INDEX('Food Library'!$B$6:$B$105,MATCH($E410,'Food Library'!$A$6:$A$105,0)),"?? code not in Library"))</f>
        <v/>
      </c>
      <c r="G410" s="32" t="str">
        <f aca="false">IF($E410="","",IFERROR(INDEX('Food Library'!$D$6:$D$105,MATCH($E410,'Food Library'!$A$6:$A$105,0)),""))</f>
        <v/>
      </c>
      <c r="H410" s="20"/>
      <c r="I410" s="20"/>
      <c r="J410" s="20"/>
      <c r="K410" s="20"/>
      <c r="L410" s="21"/>
    </row>
    <row r="411" customFormat="false" ht="15" hidden="false" customHeight="false" outlineLevel="0" collapsed="false">
      <c r="A411" s="20"/>
      <c r="B411" s="30"/>
      <c r="C411" s="20"/>
      <c r="D411" s="22"/>
      <c r="E411" s="20"/>
      <c r="F411" s="31" t="str">
        <f aca="false">IF($E411="","",IFERROR(INDEX('Food Library'!$B$6:$B$105,MATCH($E411,'Food Library'!$A$6:$A$105,0)),"?? code not in Library"))</f>
        <v/>
      </c>
      <c r="G411" s="32" t="str">
        <f aca="false">IF($E411="","",IFERROR(INDEX('Food Library'!$D$6:$D$105,MATCH($E411,'Food Library'!$A$6:$A$105,0)),""))</f>
        <v/>
      </c>
      <c r="H411" s="20"/>
      <c r="I411" s="20"/>
      <c r="J411" s="20"/>
      <c r="K411" s="20"/>
      <c r="L411" s="21"/>
    </row>
    <row r="412" customFormat="false" ht="15" hidden="false" customHeight="false" outlineLevel="0" collapsed="false">
      <c r="A412" s="20"/>
      <c r="B412" s="30"/>
      <c r="C412" s="20"/>
      <c r="D412" s="22"/>
      <c r="E412" s="20"/>
      <c r="F412" s="31" t="str">
        <f aca="false">IF($E412="","",IFERROR(INDEX('Food Library'!$B$6:$B$105,MATCH($E412,'Food Library'!$A$6:$A$105,0)),"?? code not in Library"))</f>
        <v/>
      </c>
      <c r="G412" s="32" t="str">
        <f aca="false">IF($E412="","",IFERROR(INDEX('Food Library'!$D$6:$D$105,MATCH($E412,'Food Library'!$A$6:$A$105,0)),""))</f>
        <v/>
      </c>
      <c r="H412" s="20"/>
      <c r="I412" s="20"/>
      <c r="J412" s="20"/>
      <c r="K412" s="20"/>
      <c r="L412" s="21"/>
    </row>
    <row r="413" customFormat="false" ht="15" hidden="false" customHeight="false" outlineLevel="0" collapsed="false">
      <c r="A413" s="20"/>
      <c r="B413" s="30"/>
      <c r="C413" s="20"/>
      <c r="D413" s="22"/>
      <c r="E413" s="20"/>
      <c r="F413" s="31" t="str">
        <f aca="false">IF($E413="","",IFERROR(INDEX('Food Library'!$B$6:$B$105,MATCH($E413,'Food Library'!$A$6:$A$105,0)),"?? code not in Library"))</f>
        <v/>
      </c>
      <c r="G413" s="32" t="str">
        <f aca="false">IF($E413="","",IFERROR(INDEX('Food Library'!$D$6:$D$105,MATCH($E413,'Food Library'!$A$6:$A$105,0)),""))</f>
        <v/>
      </c>
      <c r="H413" s="20"/>
      <c r="I413" s="20"/>
      <c r="J413" s="20"/>
      <c r="K413" s="20"/>
      <c r="L413" s="21"/>
    </row>
    <row r="414" customFormat="false" ht="15" hidden="false" customHeight="false" outlineLevel="0" collapsed="false">
      <c r="A414" s="20"/>
      <c r="B414" s="30"/>
      <c r="C414" s="20"/>
      <c r="D414" s="22"/>
      <c r="E414" s="20"/>
      <c r="F414" s="31" t="str">
        <f aca="false">IF($E414="","",IFERROR(INDEX('Food Library'!$B$6:$B$105,MATCH($E414,'Food Library'!$A$6:$A$105,0)),"?? code not in Library"))</f>
        <v/>
      </c>
      <c r="G414" s="32" t="str">
        <f aca="false">IF($E414="","",IFERROR(INDEX('Food Library'!$D$6:$D$105,MATCH($E414,'Food Library'!$A$6:$A$105,0)),""))</f>
        <v/>
      </c>
      <c r="H414" s="20"/>
      <c r="I414" s="20"/>
      <c r="J414" s="20"/>
      <c r="K414" s="20"/>
      <c r="L414" s="21"/>
    </row>
    <row r="415" customFormat="false" ht="15" hidden="false" customHeight="false" outlineLevel="0" collapsed="false">
      <c r="A415" s="20"/>
      <c r="B415" s="30"/>
      <c r="C415" s="20"/>
      <c r="D415" s="22"/>
      <c r="E415" s="20"/>
      <c r="F415" s="31" t="str">
        <f aca="false">IF($E415="","",IFERROR(INDEX('Food Library'!$B$6:$B$105,MATCH($E415,'Food Library'!$A$6:$A$105,0)),"?? code not in Library"))</f>
        <v/>
      </c>
      <c r="G415" s="32" t="str">
        <f aca="false">IF($E415="","",IFERROR(INDEX('Food Library'!$D$6:$D$105,MATCH($E415,'Food Library'!$A$6:$A$105,0)),""))</f>
        <v/>
      </c>
      <c r="H415" s="20"/>
      <c r="I415" s="20"/>
      <c r="J415" s="20"/>
      <c r="K415" s="20"/>
      <c r="L415" s="21"/>
    </row>
    <row r="416" customFormat="false" ht="15" hidden="false" customHeight="false" outlineLevel="0" collapsed="false">
      <c r="A416" s="20"/>
      <c r="B416" s="30"/>
      <c r="C416" s="20"/>
      <c r="D416" s="22"/>
      <c r="E416" s="20"/>
      <c r="F416" s="31" t="str">
        <f aca="false">IF($E416="","",IFERROR(INDEX('Food Library'!$B$6:$B$105,MATCH($E416,'Food Library'!$A$6:$A$105,0)),"?? code not in Library"))</f>
        <v/>
      </c>
      <c r="G416" s="32" t="str">
        <f aca="false">IF($E416="","",IFERROR(INDEX('Food Library'!$D$6:$D$105,MATCH($E416,'Food Library'!$A$6:$A$105,0)),""))</f>
        <v/>
      </c>
      <c r="H416" s="20"/>
      <c r="I416" s="20"/>
      <c r="J416" s="20"/>
      <c r="K416" s="20"/>
      <c r="L416" s="21"/>
    </row>
    <row r="417" customFormat="false" ht="15" hidden="false" customHeight="false" outlineLevel="0" collapsed="false">
      <c r="A417" s="20"/>
      <c r="B417" s="30"/>
      <c r="C417" s="20"/>
      <c r="D417" s="22"/>
      <c r="E417" s="20"/>
      <c r="F417" s="31" t="str">
        <f aca="false">IF($E417="","",IFERROR(INDEX('Food Library'!$B$6:$B$105,MATCH($E417,'Food Library'!$A$6:$A$105,0)),"?? code not in Library"))</f>
        <v/>
      </c>
      <c r="G417" s="32" t="str">
        <f aca="false">IF($E417="","",IFERROR(INDEX('Food Library'!$D$6:$D$105,MATCH($E417,'Food Library'!$A$6:$A$105,0)),""))</f>
        <v/>
      </c>
      <c r="H417" s="20"/>
      <c r="I417" s="20"/>
      <c r="J417" s="20"/>
      <c r="K417" s="20"/>
      <c r="L417" s="21"/>
    </row>
    <row r="418" customFormat="false" ht="15" hidden="false" customHeight="false" outlineLevel="0" collapsed="false">
      <c r="A418" s="20"/>
      <c r="B418" s="30"/>
      <c r="C418" s="20"/>
      <c r="D418" s="22"/>
      <c r="E418" s="20"/>
      <c r="F418" s="31" t="str">
        <f aca="false">IF($E418="","",IFERROR(INDEX('Food Library'!$B$6:$B$105,MATCH($E418,'Food Library'!$A$6:$A$105,0)),"?? code not in Library"))</f>
        <v/>
      </c>
      <c r="G418" s="32" t="str">
        <f aca="false">IF($E418="","",IFERROR(INDEX('Food Library'!$D$6:$D$105,MATCH($E418,'Food Library'!$A$6:$A$105,0)),""))</f>
        <v/>
      </c>
      <c r="H418" s="20"/>
      <c r="I418" s="20"/>
      <c r="J418" s="20"/>
      <c r="K418" s="20"/>
      <c r="L418" s="21"/>
    </row>
    <row r="419" customFormat="false" ht="15" hidden="false" customHeight="false" outlineLevel="0" collapsed="false">
      <c r="A419" s="20"/>
      <c r="B419" s="30"/>
      <c r="C419" s="20"/>
      <c r="D419" s="22"/>
      <c r="E419" s="20"/>
      <c r="F419" s="31" t="str">
        <f aca="false">IF($E419="","",IFERROR(INDEX('Food Library'!$B$6:$B$105,MATCH($E419,'Food Library'!$A$6:$A$105,0)),"?? code not in Library"))</f>
        <v/>
      </c>
      <c r="G419" s="32" t="str">
        <f aca="false">IF($E419="","",IFERROR(INDEX('Food Library'!$D$6:$D$105,MATCH($E419,'Food Library'!$A$6:$A$105,0)),""))</f>
        <v/>
      </c>
      <c r="H419" s="20"/>
      <c r="I419" s="20"/>
      <c r="J419" s="20"/>
      <c r="K419" s="20"/>
      <c r="L419" s="21"/>
    </row>
    <row r="420" customFormat="false" ht="15" hidden="false" customHeight="false" outlineLevel="0" collapsed="false">
      <c r="A420" s="20"/>
      <c r="B420" s="30"/>
      <c r="C420" s="20"/>
      <c r="D420" s="22"/>
      <c r="E420" s="20"/>
      <c r="F420" s="31" t="str">
        <f aca="false">IF($E420="","",IFERROR(INDEX('Food Library'!$B$6:$B$105,MATCH($E420,'Food Library'!$A$6:$A$105,0)),"?? code not in Library"))</f>
        <v/>
      </c>
      <c r="G420" s="32" t="str">
        <f aca="false">IF($E420="","",IFERROR(INDEX('Food Library'!$D$6:$D$105,MATCH($E420,'Food Library'!$A$6:$A$105,0)),""))</f>
        <v/>
      </c>
      <c r="H420" s="20"/>
      <c r="I420" s="20"/>
      <c r="J420" s="20"/>
      <c r="K420" s="20"/>
      <c r="L420" s="21"/>
    </row>
    <row r="421" customFormat="false" ht="15" hidden="false" customHeight="false" outlineLevel="0" collapsed="false">
      <c r="A421" s="20"/>
      <c r="B421" s="30"/>
      <c r="C421" s="20"/>
      <c r="D421" s="22"/>
      <c r="E421" s="20"/>
      <c r="F421" s="31" t="str">
        <f aca="false">IF($E421="","",IFERROR(INDEX('Food Library'!$B$6:$B$105,MATCH($E421,'Food Library'!$A$6:$A$105,0)),"?? code not in Library"))</f>
        <v/>
      </c>
      <c r="G421" s="32" t="str">
        <f aca="false">IF($E421="","",IFERROR(INDEX('Food Library'!$D$6:$D$105,MATCH($E421,'Food Library'!$A$6:$A$105,0)),""))</f>
        <v/>
      </c>
      <c r="H421" s="20"/>
      <c r="I421" s="20"/>
      <c r="J421" s="20"/>
      <c r="K421" s="20"/>
      <c r="L421" s="21"/>
    </row>
    <row r="422" customFormat="false" ht="15" hidden="false" customHeight="false" outlineLevel="0" collapsed="false">
      <c r="A422" s="20"/>
      <c r="B422" s="30"/>
      <c r="C422" s="20"/>
      <c r="D422" s="22"/>
      <c r="E422" s="20"/>
      <c r="F422" s="31" t="str">
        <f aca="false">IF($E422="","",IFERROR(INDEX('Food Library'!$B$6:$B$105,MATCH($E422,'Food Library'!$A$6:$A$105,0)),"?? code not in Library"))</f>
        <v/>
      </c>
      <c r="G422" s="32" t="str">
        <f aca="false">IF($E422="","",IFERROR(INDEX('Food Library'!$D$6:$D$105,MATCH($E422,'Food Library'!$A$6:$A$105,0)),""))</f>
        <v/>
      </c>
      <c r="H422" s="20"/>
      <c r="I422" s="20"/>
      <c r="J422" s="20"/>
      <c r="K422" s="20"/>
      <c r="L422" s="21"/>
    </row>
    <row r="423" customFormat="false" ht="15" hidden="false" customHeight="false" outlineLevel="0" collapsed="false">
      <c r="A423" s="20"/>
      <c r="B423" s="30"/>
      <c r="C423" s="20"/>
      <c r="D423" s="22"/>
      <c r="E423" s="20"/>
      <c r="F423" s="31" t="str">
        <f aca="false">IF($E423="","",IFERROR(INDEX('Food Library'!$B$6:$B$105,MATCH($E423,'Food Library'!$A$6:$A$105,0)),"?? code not in Library"))</f>
        <v/>
      </c>
      <c r="G423" s="32" t="str">
        <f aca="false">IF($E423="","",IFERROR(INDEX('Food Library'!$D$6:$D$105,MATCH($E423,'Food Library'!$A$6:$A$105,0)),""))</f>
        <v/>
      </c>
      <c r="H423" s="20"/>
      <c r="I423" s="20"/>
      <c r="J423" s="20"/>
      <c r="K423" s="20"/>
      <c r="L423" s="21"/>
    </row>
    <row r="424" customFormat="false" ht="15" hidden="false" customHeight="false" outlineLevel="0" collapsed="false">
      <c r="A424" s="20"/>
      <c r="B424" s="30"/>
      <c r="C424" s="20"/>
      <c r="D424" s="22"/>
      <c r="E424" s="20"/>
      <c r="F424" s="31" t="str">
        <f aca="false">IF($E424="","",IFERROR(INDEX('Food Library'!$B$6:$B$105,MATCH($E424,'Food Library'!$A$6:$A$105,0)),"?? code not in Library"))</f>
        <v/>
      </c>
      <c r="G424" s="32" t="str">
        <f aca="false">IF($E424="","",IFERROR(INDEX('Food Library'!$D$6:$D$105,MATCH($E424,'Food Library'!$A$6:$A$105,0)),""))</f>
        <v/>
      </c>
      <c r="H424" s="20"/>
      <c r="I424" s="20"/>
      <c r="J424" s="20"/>
      <c r="K424" s="20"/>
      <c r="L424" s="21"/>
    </row>
    <row r="425" customFormat="false" ht="15" hidden="false" customHeight="false" outlineLevel="0" collapsed="false">
      <c r="A425" s="20"/>
      <c r="B425" s="30"/>
      <c r="C425" s="20"/>
      <c r="D425" s="22"/>
      <c r="E425" s="20"/>
      <c r="F425" s="31" t="str">
        <f aca="false">IF($E425="","",IFERROR(INDEX('Food Library'!$B$6:$B$105,MATCH($E425,'Food Library'!$A$6:$A$105,0)),"?? code not in Library"))</f>
        <v/>
      </c>
      <c r="G425" s="32" t="str">
        <f aca="false">IF($E425="","",IFERROR(INDEX('Food Library'!$D$6:$D$105,MATCH($E425,'Food Library'!$A$6:$A$105,0)),""))</f>
        <v/>
      </c>
      <c r="H425" s="20"/>
      <c r="I425" s="20"/>
      <c r="J425" s="20"/>
      <c r="K425" s="20"/>
      <c r="L425" s="21"/>
    </row>
    <row r="426" customFormat="false" ht="15" hidden="false" customHeight="false" outlineLevel="0" collapsed="false">
      <c r="A426" s="20"/>
      <c r="B426" s="30"/>
      <c r="C426" s="20"/>
      <c r="D426" s="22"/>
      <c r="E426" s="20"/>
      <c r="F426" s="31" t="str">
        <f aca="false">IF($E426="","",IFERROR(INDEX('Food Library'!$B$6:$B$105,MATCH($E426,'Food Library'!$A$6:$A$105,0)),"?? code not in Library"))</f>
        <v/>
      </c>
      <c r="G426" s="32" t="str">
        <f aca="false">IF($E426="","",IFERROR(INDEX('Food Library'!$D$6:$D$105,MATCH($E426,'Food Library'!$A$6:$A$105,0)),""))</f>
        <v/>
      </c>
      <c r="H426" s="20"/>
      <c r="I426" s="20"/>
      <c r="J426" s="20"/>
      <c r="K426" s="20"/>
      <c r="L426" s="21"/>
    </row>
    <row r="427" customFormat="false" ht="15" hidden="false" customHeight="false" outlineLevel="0" collapsed="false">
      <c r="A427" s="20"/>
      <c r="B427" s="30"/>
      <c r="C427" s="20"/>
      <c r="D427" s="22"/>
      <c r="E427" s="20"/>
      <c r="F427" s="31" t="str">
        <f aca="false">IF($E427="","",IFERROR(INDEX('Food Library'!$B$6:$B$105,MATCH($E427,'Food Library'!$A$6:$A$105,0)),"?? code not in Library"))</f>
        <v/>
      </c>
      <c r="G427" s="32" t="str">
        <f aca="false">IF($E427="","",IFERROR(INDEX('Food Library'!$D$6:$D$105,MATCH($E427,'Food Library'!$A$6:$A$105,0)),""))</f>
        <v/>
      </c>
      <c r="H427" s="20"/>
      <c r="I427" s="20"/>
      <c r="J427" s="20"/>
      <c r="K427" s="20"/>
      <c r="L427" s="21"/>
    </row>
    <row r="428" customFormat="false" ht="15" hidden="false" customHeight="false" outlineLevel="0" collapsed="false">
      <c r="A428" s="20"/>
      <c r="B428" s="30"/>
      <c r="C428" s="20"/>
      <c r="D428" s="22"/>
      <c r="E428" s="20"/>
      <c r="F428" s="31" t="str">
        <f aca="false">IF($E428="","",IFERROR(INDEX('Food Library'!$B$6:$B$105,MATCH($E428,'Food Library'!$A$6:$A$105,0)),"?? code not in Library"))</f>
        <v/>
      </c>
      <c r="G428" s="32" t="str">
        <f aca="false">IF($E428="","",IFERROR(INDEX('Food Library'!$D$6:$D$105,MATCH($E428,'Food Library'!$A$6:$A$105,0)),""))</f>
        <v/>
      </c>
      <c r="H428" s="20"/>
      <c r="I428" s="20"/>
      <c r="J428" s="20"/>
      <c r="K428" s="20"/>
      <c r="L428" s="21"/>
    </row>
    <row r="429" customFormat="false" ht="15" hidden="false" customHeight="false" outlineLevel="0" collapsed="false">
      <c r="A429" s="20"/>
      <c r="B429" s="30"/>
      <c r="C429" s="20"/>
      <c r="D429" s="22"/>
      <c r="E429" s="20"/>
      <c r="F429" s="31" t="str">
        <f aca="false">IF($E429="","",IFERROR(INDEX('Food Library'!$B$6:$B$105,MATCH($E429,'Food Library'!$A$6:$A$105,0)),"?? code not in Library"))</f>
        <v/>
      </c>
      <c r="G429" s="32" t="str">
        <f aca="false">IF($E429="","",IFERROR(INDEX('Food Library'!$D$6:$D$105,MATCH($E429,'Food Library'!$A$6:$A$105,0)),""))</f>
        <v/>
      </c>
      <c r="H429" s="20"/>
      <c r="I429" s="20"/>
      <c r="J429" s="20"/>
      <c r="K429" s="20"/>
      <c r="L429" s="21"/>
    </row>
    <row r="430" customFormat="false" ht="15" hidden="false" customHeight="false" outlineLevel="0" collapsed="false">
      <c r="A430" s="20"/>
      <c r="B430" s="30"/>
      <c r="C430" s="20"/>
      <c r="D430" s="22"/>
      <c r="E430" s="20"/>
      <c r="F430" s="31" t="str">
        <f aca="false">IF($E430="","",IFERROR(INDEX('Food Library'!$B$6:$B$105,MATCH($E430,'Food Library'!$A$6:$A$105,0)),"?? code not in Library"))</f>
        <v/>
      </c>
      <c r="G430" s="32" t="str">
        <f aca="false">IF($E430="","",IFERROR(INDEX('Food Library'!$D$6:$D$105,MATCH($E430,'Food Library'!$A$6:$A$105,0)),""))</f>
        <v/>
      </c>
      <c r="H430" s="20"/>
      <c r="I430" s="20"/>
      <c r="J430" s="20"/>
      <c r="K430" s="20"/>
      <c r="L430" s="21"/>
    </row>
    <row r="431" customFormat="false" ht="15" hidden="false" customHeight="false" outlineLevel="0" collapsed="false">
      <c r="A431" s="20"/>
      <c r="B431" s="30"/>
      <c r="C431" s="20"/>
      <c r="D431" s="22"/>
      <c r="E431" s="20"/>
      <c r="F431" s="31" t="str">
        <f aca="false">IF($E431="","",IFERROR(INDEX('Food Library'!$B$6:$B$105,MATCH($E431,'Food Library'!$A$6:$A$105,0)),"?? code not in Library"))</f>
        <v/>
      </c>
      <c r="G431" s="32" t="str">
        <f aca="false">IF($E431="","",IFERROR(INDEX('Food Library'!$D$6:$D$105,MATCH($E431,'Food Library'!$A$6:$A$105,0)),""))</f>
        <v/>
      </c>
      <c r="H431" s="20"/>
      <c r="I431" s="20"/>
      <c r="J431" s="20"/>
      <c r="K431" s="20"/>
      <c r="L431" s="21"/>
    </row>
    <row r="432" customFormat="false" ht="15" hidden="false" customHeight="false" outlineLevel="0" collapsed="false">
      <c r="A432" s="20"/>
      <c r="B432" s="30"/>
      <c r="C432" s="20"/>
      <c r="D432" s="22"/>
      <c r="E432" s="20"/>
      <c r="F432" s="31" t="str">
        <f aca="false">IF($E432="","",IFERROR(INDEX('Food Library'!$B$6:$B$105,MATCH($E432,'Food Library'!$A$6:$A$105,0)),"?? code not in Library"))</f>
        <v/>
      </c>
      <c r="G432" s="32" t="str">
        <f aca="false">IF($E432="","",IFERROR(INDEX('Food Library'!$D$6:$D$105,MATCH($E432,'Food Library'!$A$6:$A$105,0)),""))</f>
        <v/>
      </c>
      <c r="H432" s="20"/>
      <c r="I432" s="20"/>
      <c r="J432" s="20"/>
      <c r="K432" s="20"/>
      <c r="L432" s="21"/>
    </row>
    <row r="433" customFormat="false" ht="15" hidden="false" customHeight="false" outlineLevel="0" collapsed="false">
      <c r="A433" s="20"/>
      <c r="B433" s="30"/>
      <c r="C433" s="20"/>
      <c r="D433" s="22"/>
      <c r="E433" s="20"/>
      <c r="F433" s="31" t="str">
        <f aca="false">IF($E433="","",IFERROR(INDEX('Food Library'!$B$6:$B$105,MATCH($E433,'Food Library'!$A$6:$A$105,0)),"?? code not in Library"))</f>
        <v/>
      </c>
      <c r="G433" s="32" t="str">
        <f aca="false">IF($E433="","",IFERROR(INDEX('Food Library'!$D$6:$D$105,MATCH($E433,'Food Library'!$A$6:$A$105,0)),""))</f>
        <v/>
      </c>
      <c r="H433" s="20"/>
      <c r="I433" s="20"/>
      <c r="J433" s="20"/>
      <c r="K433" s="20"/>
      <c r="L433" s="21"/>
    </row>
    <row r="434" customFormat="false" ht="15" hidden="false" customHeight="false" outlineLevel="0" collapsed="false">
      <c r="A434" s="20"/>
      <c r="B434" s="30"/>
      <c r="C434" s="20"/>
      <c r="D434" s="22"/>
      <c r="E434" s="20"/>
      <c r="F434" s="31" t="str">
        <f aca="false">IF($E434="","",IFERROR(INDEX('Food Library'!$B$6:$B$105,MATCH($E434,'Food Library'!$A$6:$A$105,0)),"?? code not in Library"))</f>
        <v/>
      </c>
      <c r="G434" s="32" t="str">
        <f aca="false">IF($E434="","",IFERROR(INDEX('Food Library'!$D$6:$D$105,MATCH($E434,'Food Library'!$A$6:$A$105,0)),""))</f>
        <v/>
      </c>
      <c r="H434" s="20"/>
      <c r="I434" s="20"/>
      <c r="J434" s="20"/>
      <c r="K434" s="20"/>
      <c r="L434" s="21"/>
    </row>
    <row r="435" customFormat="false" ht="15" hidden="false" customHeight="false" outlineLevel="0" collapsed="false">
      <c r="A435" s="20"/>
      <c r="B435" s="30"/>
      <c r="C435" s="20"/>
      <c r="D435" s="22"/>
      <c r="E435" s="20"/>
      <c r="F435" s="31" t="str">
        <f aca="false">IF($E435="","",IFERROR(INDEX('Food Library'!$B$6:$B$105,MATCH($E435,'Food Library'!$A$6:$A$105,0)),"?? code not in Library"))</f>
        <v/>
      </c>
      <c r="G435" s="32" t="str">
        <f aca="false">IF($E435="","",IFERROR(INDEX('Food Library'!$D$6:$D$105,MATCH($E435,'Food Library'!$A$6:$A$105,0)),""))</f>
        <v/>
      </c>
      <c r="H435" s="20"/>
      <c r="I435" s="20"/>
      <c r="J435" s="20"/>
      <c r="K435" s="20"/>
      <c r="L435" s="21"/>
    </row>
    <row r="436" customFormat="false" ht="15" hidden="false" customHeight="false" outlineLevel="0" collapsed="false">
      <c r="A436" s="20"/>
      <c r="B436" s="30"/>
      <c r="C436" s="20"/>
      <c r="D436" s="22"/>
      <c r="E436" s="20"/>
      <c r="F436" s="31" t="str">
        <f aca="false">IF($E436="","",IFERROR(INDEX('Food Library'!$B$6:$B$105,MATCH($E436,'Food Library'!$A$6:$A$105,0)),"?? code not in Library"))</f>
        <v/>
      </c>
      <c r="G436" s="32" t="str">
        <f aca="false">IF($E436="","",IFERROR(INDEX('Food Library'!$D$6:$D$105,MATCH($E436,'Food Library'!$A$6:$A$105,0)),""))</f>
        <v/>
      </c>
      <c r="H436" s="20"/>
      <c r="I436" s="20"/>
      <c r="J436" s="20"/>
      <c r="K436" s="20"/>
      <c r="L436" s="21"/>
    </row>
    <row r="437" customFormat="false" ht="15" hidden="false" customHeight="false" outlineLevel="0" collapsed="false">
      <c r="A437" s="20"/>
      <c r="B437" s="30"/>
      <c r="C437" s="20"/>
      <c r="D437" s="22"/>
      <c r="E437" s="20"/>
      <c r="F437" s="31" t="str">
        <f aca="false">IF($E437="","",IFERROR(INDEX('Food Library'!$B$6:$B$105,MATCH($E437,'Food Library'!$A$6:$A$105,0)),"?? code not in Library"))</f>
        <v/>
      </c>
      <c r="G437" s="32" t="str">
        <f aca="false">IF($E437="","",IFERROR(INDEX('Food Library'!$D$6:$D$105,MATCH($E437,'Food Library'!$A$6:$A$105,0)),""))</f>
        <v/>
      </c>
      <c r="H437" s="20"/>
      <c r="I437" s="20"/>
      <c r="J437" s="20"/>
      <c r="K437" s="20"/>
      <c r="L437" s="21"/>
    </row>
    <row r="438" customFormat="false" ht="15" hidden="false" customHeight="false" outlineLevel="0" collapsed="false">
      <c r="A438" s="20"/>
      <c r="B438" s="30"/>
      <c r="C438" s="20"/>
      <c r="D438" s="22"/>
      <c r="E438" s="20"/>
      <c r="F438" s="31" t="str">
        <f aca="false">IF($E438="","",IFERROR(INDEX('Food Library'!$B$6:$B$105,MATCH($E438,'Food Library'!$A$6:$A$105,0)),"?? code not in Library"))</f>
        <v/>
      </c>
      <c r="G438" s="32" t="str">
        <f aca="false">IF($E438="","",IFERROR(INDEX('Food Library'!$D$6:$D$105,MATCH($E438,'Food Library'!$A$6:$A$105,0)),""))</f>
        <v/>
      </c>
      <c r="H438" s="20"/>
      <c r="I438" s="20"/>
      <c r="J438" s="20"/>
      <c r="K438" s="20"/>
      <c r="L438" s="21"/>
    </row>
    <row r="439" customFormat="false" ht="15" hidden="false" customHeight="false" outlineLevel="0" collapsed="false">
      <c r="A439" s="20"/>
      <c r="B439" s="30"/>
      <c r="C439" s="20"/>
      <c r="D439" s="22"/>
      <c r="E439" s="20"/>
      <c r="F439" s="31" t="str">
        <f aca="false">IF($E439="","",IFERROR(INDEX('Food Library'!$B$6:$B$105,MATCH($E439,'Food Library'!$A$6:$A$105,0)),"?? code not in Library"))</f>
        <v/>
      </c>
      <c r="G439" s="32" t="str">
        <f aca="false">IF($E439="","",IFERROR(INDEX('Food Library'!$D$6:$D$105,MATCH($E439,'Food Library'!$A$6:$A$105,0)),""))</f>
        <v/>
      </c>
      <c r="H439" s="20"/>
      <c r="I439" s="20"/>
      <c r="J439" s="20"/>
      <c r="K439" s="20"/>
      <c r="L439" s="21"/>
    </row>
    <row r="440" customFormat="false" ht="15" hidden="false" customHeight="false" outlineLevel="0" collapsed="false">
      <c r="A440" s="20"/>
      <c r="B440" s="30"/>
      <c r="C440" s="20"/>
      <c r="D440" s="22"/>
      <c r="E440" s="20"/>
      <c r="F440" s="31" t="str">
        <f aca="false">IF($E440="","",IFERROR(INDEX('Food Library'!$B$6:$B$105,MATCH($E440,'Food Library'!$A$6:$A$105,0)),"?? code not in Library"))</f>
        <v/>
      </c>
      <c r="G440" s="32" t="str">
        <f aca="false">IF($E440="","",IFERROR(INDEX('Food Library'!$D$6:$D$105,MATCH($E440,'Food Library'!$A$6:$A$105,0)),""))</f>
        <v/>
      </c>
      <c r="H440" s="20"/>
      <c r="I440" s="20"/>
      <c r="J440" s="20"/>
      <c r="K440" s="20"/>
      <c r="L440" s="21"/>
    </row>
    <row r="441" customFormat="false" ht="15" hidden="false" customHeight="false" outlineLevel="0" collapsed="false">
      <c r="A441" s="20"/>
      <c r="B441" s="30"/>
      <c r="C441" s="20"/>
      <c r="D441" s="22"/>
      <c r="E441" s="20"/>
      <c r="F441" s="31" t="str">
        <f aca="false">IF($E441="","",IFERROR(INDEX('Food Library'!$B$6:$B$105,MATCH($E441,'Food Library'!$A$6:$A$105,0)),"?? code not in Library"))</f>
        <v/>
      </c>
      <c r="G441" s="32" t="str">
        <f aca="false">IF($E441="","",IFERROR(INDEX('Food Library'!$D$6:$D$105,MATCH($E441,'Food Library'!$A$6:$A$105,0)),""))</f>
        <v/>
      </c>
      <c r="H441" s="20"/>
      <c r="I441" s="20"/>
      <c r="J441" s="20"/>
      <c r="K441" s="20"/>
      <c r="L441" s="21"/>
    </row>
    <row r="442" customFormat="false" ht="15" hidden="false" customHeight="false" outlineLevel="0" collapsed="false">
      <c r="A442" s="20"/>
      <c r="B442" s="30"/>
      <c r="C442" s="20"/>
      <c r="D442" s="22"/>
      <c r="E442" s="20"/>
      <c r="F442" s="31" t="str">
        <f aca="false">IF($E442="","",IFERROR(INDEX('Food Library'!$B$6:$B$105,MATCH($E442,'Food Library'!$A$6:$A$105,0)),"?? code not in Library"))</f>
        <v/>
      </c>
      <c r="G442" s="32" t="str">
        <f aca="false">IF($E442="","",IFERROR(INDEX('Food Library'!$D$6:$D$105,MATCH($E442,'Food Library'!$A$6:$A$105,0)),""))</f>
        <v/>
      </c>
      <c r="H442" s="20"/>
      <c r="I442" s="20"/>
      <c r="J442" s="20"/>
      <c r="K442" s="20"/>
      <c r="L442" s="21"/>
    </row>
    <row r="443" customFormat="false" ht="15" hidden="false" customHeight="false" outlineLevel="0" collapsed="false">
      <c r="A443" s="20"/>
      <c r="B443" s="30"/>
      <c r="C443" s="20"/>
      <c r="D443" s="22"/>
      <c r="E443" s="20"/>
      <c r="F443" s="31" t="str">
        <f aca="false">IF($E443="","",IFERROR(INDEX('Food Library'!$B$6:$B$105,MATCH($E443,'Food Library'!$A$6:$A$105,0)),"?? code not in Library"))</f>
        <v/>
      </c>
      <c r="G443" s="32" t="str">
        <f aca="false">IF($E443="","",IFERROR(INDEX('Food Library'!$D$6:$D$105,MATCH($E443,'Food Library'!$A$6:$A$105,0)),""))</f>
        <v/>
      </c>
      <c r="H443" s="20"/>
      <c r="I443" s="20"/>
      <c r="J443" s="20"/>
      <c r="K443" s="20"/>
      <c r="L443" s="21"/>
    </row>
    <row r="444" customFormat="false" ht="15" hidden="false" customHeight="false" outlineLevel="0" collapsed="false">
      <c r="A444" s="20"/>
      <c r="B444" s="30"/>
      <c r="C444" s="20"/>
      <c r="D444" s="22"/>
      <c r="E444" s="20"/>
      <c r="F444" s="31" t="str">
        <f aca="false">IF($E444="","",IFERROR(INDEX('Food Library'!$B$6:$B$105,MATCH($E444,'Food Library'!$A$6:$A$105,0)),"?? code not in Library"))</f>
        <v/>
      </c>
      <c r="G444" s="32" t="str">
        <f aca="false">IF($E444="","",IFERROR(INDEX('Food Library'!$D$6:$D$105,MATCH($E444,'Food Library'!$A$6:$A$105,0)),""))</f>
        <v/>
      </c>
      <c r="H444" s="20"/>
      <c r="I444" s="20"/>
      <c r="J444" s="20"/>
      <c r="K444" s="20"/>
      <c r="L444" s="21"/>
    </row>
    <row r="445" customFormat="false" ht="15" hidden="false" customHeight="false" outlineLevel="0" collapsed="false">
      <c r="A445" s="20"/>
      <c r="B445" s="30"/>
      <c r="C445" s="20"/>
      <c r="D445" s="22"/>
      <c r="E445" s="20"/>
      <c r="F445" s="31" t="str">
        <f aca="false">IF($E445="","",IFERROR(INDEX('Food Library'!$B$6:$B$105,MATCH($E445,'Food Library'!$A$6:$A$105,0)),"?? code not in Library"))</f>
        <v/>
      </c>
      <c r="G445" s="32" t="str">
        <f aca="false">IF($E445="","",IFERROR(INDEX('Food Library'!$D$6:$D$105,MATCH($E445,'Food Library'!$A$6:$A$105,0)),""))</f>
        <v/>
      </c>
      <c r="H445" s="20"/>
      <c r="I445" s="20"/>
      <c r="J445" s="20"/>
      <c r="K445" s="20"/>
      <c r="L445" s="21"/>
    </row>
    <row r="446" customFormat="false" ht="15" hidden="false" customHeight="false" outlineLevel="0" collapsed="false">
      <c r="A446" s="20"/>
      <c r="B446" s="30"/>
      <c r="C446" s="20"/>
      <c r="D446" s="22"/>
      <c r="E446" s="20"/>
      <c r="F446" s="31" t="str">
        <f aca="false">IF($E446="","",IFERROR(INDEX('Food Library'!$B$6:$B$105,MATCH($E446,'Food Library'!$A$6:$A$105,0)),"?? code not in Library"))</f>
        <v/>
      </c>
      <c r="G446" s="32" t="str">
        <f aca="false">IF($E446="","",IFERROR(INDEX('Food Library'!$D$6:$D$105,MATCH($E446,'Food Library'!$A$6:$A$105,0)),""))</f>
        <v/>
      </c>
      <c r="H446" s="20"/>
      <c r="I446" s="20"/>
      <c r="J446" s="20"/>
      <c r="K446" s="20"/>
      <c r="L446" s="21"/>
    </row>
    <row r="447" customFormat="false" ht="15" hidden="false" customHeight="false" outlineLevel="0" collapsed="false">
      <c r="A447" s="20"/>
      <c r="B447" s="30"/>
      <c r="C447" s="20"/>
      <c r="D447" s="22"/>
      <c r="E447" s="20"/>
      <c r="F447" s="31" t="str">
        <f aca="false">IF($E447="","",IFERROR(INDEX('Food Library'!$B$6:$B$105,MATCH($E447,'Food Library'!$A$6:$A$105,0)),"?? code not in Library"))</f>
        <v/>
      </c>
      <c r="G447" s="32" t="str">
        <f aca="false">IF($E447="","",IFERROR(INDEX('Food Library'!$D$6:$D$105,MATCH($E447,'Food Library'!$A$6:$A$105,0)),""))</f>
        <v/>
      </c>
      <c r="H447" s="20"/>
      <c r="I447" s="20"/>
      <c r="J447" s="20"/>
      <c r="K447" s="20"/>
      <c r="L447" s="21"/>
    </row>
    <row r="448" customFormat="false" ht="15" hidden="false" customHeight="false" outlineLevel="0" collapsed="false">
      <c r="A448" s="20"/>
      <c r="B448" s="30"/>
      <c r="C448" s="20"/>
      <c r="D448" s="22"/>
      <c r="E448" s="20"/>
      <c r="F448" s="31" t="str">
        <f aca="false">IF($E448="","",IFERROR(INDEX('Food Library'!$B$6:$B$105,MATCH($E448,'Food Library'!$A$6:$A$105,0)),"?? code not in Library"))</f>
        <v/>
      </c>
      <c r="G448" s="32" t="str">
        <f aca="false">IF($E448="","",IFERROR(INDEX('Food Library'!$D$6:$D$105,MATCH($E448,'Food Library'!$A$6:$A$105,0)),""))</f>
        <v/>
      </c>
      <c r="H448" s="20"/>
      <c r="I448" s="20"/>
      <c r="J448" s="20"/>
      <c r="K448" s="20"/>
      <c r="L448" s="21"/>
    </row>
    <row r="449" customFormat="false" ht="15" hidden="false" customHeight="false" outlineLevel="0" collapsed="false">
      <c r="A449" s="20"/>
      <c r="B449" s="30"/>
      <c r="C449" s="20"/>
      <c r="D449" s="22"/>
      <c r="E449" s="20"/>
      <c r="F449" s="31" t="str">
        <f aca="false">IF($E449="","",IFERROR(INDEX('Food Library'!$B$6:$B$105,MATCH($E449,'Food Library'!$A$6:$A$105,0)),"?? code not in Library"))</f>
        <v/>
      </c>
      <c r="G449" s="32" t="str">
        <f aca="false">IF($E449="","",IFERROR(INDEX('Food Library'!$D$6:$D$105,MATCH($E449,'Food Library'!$A$6:$A$105,0)),""))</f>
        <v/>
      </c>
      <c r="H449" s="20"/>
      <c r="I449" s="20"/>
      <c r="J449" s="20"/>
      <c r="K449" s="20"/>
      <c r="L449" s="21"/>
    </row>
    <row r="450" customFormat="false" ht="15" hidden="false" customHeight="false" outlineLevel="0" collapsed="false">
      <c r="A450" s="20"/>
      <c r="B450" s="30"/>
      <c r="C450" s="20"/>
      <c r="D450" s="22"/>
      <c r="E450" s="20"/>
      <c r="F450" s="31" t="str">
        <f aca="false">IF($E450="","",IFERROR(INDEX('Food Library'!$B$6:$B$105,MATCH($E450,'Food Library'!$A$6:$A$105,0)),"?? code not in Library"))</f>
        <v/>
      </c>
      <c r="G450" s="32" t="str">
        <f aca="false">IF($E450="","",IFERROR(INDEX('Food Library'!$D$6:$D$105,MATCH($E450,'Food Library'!$A$6:$A$105,0)),""))</f>
        <v/>
      </c>
      <c r="H450" s="20"/>
      <c r="I450" s="20"/>
      <c r="J450" s="20"/>
      <c r="K450" s="20"/>
      <c r="L450" s="21"/>
    </row>
    <row r="451" customFormat="false" ht="15" hidden="false" customHeight="false" outlineLevel="0" collapsed="false">
      <c r="A451" s="20"/>
      <c r="B451" s="30"/>
      <c r="C451" s="20"/>
      <c r="D451" s="22"/>
      <c r="E451" s="20"/>
      <c r="F451" s="31" t="str">
        <f aca="false">IF($E451="","",IFERROR(INDEX('Food Library'!$B$6:$B$105,MATCH($E451,'Food Library'!$A$6:$A$105,0)),"?? code not in Library"))</f>
        <v/>
      </c>
      <c r="G451" s="32" t="str">
        <f aca="false">IF($E451="","",IFERROR(INDEX('Food Library'!$D$6:$D$105,MATCH($E451,'Food Library'!$A$6:$A$105,0)),""))</f>
        <v/>
      </c>
      <c r="H451" s="20"/>
      <c r="I451" s="20"/>
      <c r="J451" s="20"/>
      <c r="K451" s="20"/>
      <c r="L451" s="21"/>
    </row>
    <row r="452" customFormat="false" ht="15" hidden="false" customHeight="false" outlineLevel="0" collapsed="false">
      <c r="A452" s="20"/>
      <c r="B452" s="30"/>
      <c r="C452" s="20"/>
      <c r="D452" s="22"/>
      <c r="E452" s="20"/>
      <c r="F452" s="31" t="str">
        <f aca="false">IF($E452="","",IFERROR(INDEX('Food Library'!$B$6:$B$105,MATCH($E452,'Food Library'!$A$6:$A$105,0)),"?? code not in Library"))</f>
        <v/>
      </c>
      <c r="G452" s="32" t="str">
        <f aca="false">IF($E452="","",IFERROR(INDEX('Food Library'!$D$6:$D$105,MATCH($E452,'Food Library'!$A$6:$A$105,0)),""))</f>
        <v/>
      </c>
      <c r="H452" s="20"/>
      <c r="I452" s="20"/>
      <c r="J452" s="20"/>
      <c r="K452" s="20"/>
      <c r="L452" s="21"/>
    </row>
    <row r="453" customFormat="false" ht="15" hidden="false" customHeight="false" outlineLevel="0" collapsed="false">
      <c r="A453" s="20"/>
      <c r="B453" s="30"/>
      <c r="C453" s="20"/>
      <c r="D453" s="22"/>
      <c r="E453" s="20"/>
      <c r="F453" s="31" t="str">
        <f aca="false">IF($E453="","",IFERROR(INDEX('Food Library'!$B$6:$B$105,MATCH($E453,'Food Library'!$A$6:$A$105,0)),"?? code not in Library"))</f>
        <v/>
      </c>
      <c r="G453" s="32" t="str">
        <f aca="false">IF($E453="","",IFERROR(INDEX('Food Library'!$D$6:$D$105,MATCH($E453,'Food Library'!$A$6:$A$105,0)),""))</f>
        <v/>
      </c>
      <c r="H453" s="20"/>
      <c r="I453" s="20"/>
      <c r="J453" s="20"/>
      <c r="K453" s="20"/>
      <c r="L453" s="21"/>
    </row>
    <row r="454" customFormat="false" ht="15" hidden="false" customHeight="false" outlineLevel="0" collapsed="false">
      <c r="A454" s="20"/>
      <c r="B454" s="30"/>
      <c r="C454" s="20"/>
      <c r="D454" s="22"/>
      <c r="E454" s="20"/>
      <c r="F454" s="31" t="str">
        <f aca="false">IF($E454="","",IFERROR(INDEX('Food Library'!$B$6:$B$105,MATCH($E454,'Food Library'!$A$6:$A$105,0)),"?? code not in Library"))</f>
        <v/>
      </c>
      <c r="G454" s="32" t="str">
        <f aca="false">IF($E454="","",IFERROR(INDEX('Food Library'!$D$6:$D$105,MATCH($E454,'Food Library'!$A$6:$A$105,0)),""))</f>
        <v/>
      </c>
      <c r="H454" s="20"/>
      <c r="I454" s="20"/>
      <c r="J454" s="20"/>
      <c r="K454" s="20"/>
      <c r="L454" s="21"/>
    </row>
    <row r="455" customFormat="false" ht="15" hidden="false" customHeight="false" outlineLevel="0" collapsed="false">
      <c r="A455" s="20"/>
      <c r="B455" s="30"/>
      <c r="C455" s="20"/>
      <c r="D455" s="22"/>
      <c r="E455" s="20"/>
      <c r="F455" s="31" t="str">
        <f aca="false">IF($E455="","",IFERROR(INDEX('Food Library'!$B$6:$B$105,MATCH($E455,'Food Library'!$A$6:$A$105,0)),"?? code not in Library"))</f>
        <v/>
      </c>
      <c r="G455" s="32" t="str">
        <f aca="false">IF($E455="","",IFERROR(INDEX('Food Library'!$D$6:$D$105,MATCH($E455,'Food Library'!$A$6:$A$105,0)),""))</f>
        <v/>
      </c>
      <c r="H455" s="20"/>
      <c r="I455" s="20"/>
      <c r="J455" s="20"/>
      <c r="K455" s="20"/>
      <c r="L455" s="21"/>
    </row>
    <row r="456" customFormat="false" ht="15" hidden="false" customHeight="false" outlineLevel="0" collapsed="false">
      <c r="A456" s="20"/>
      <c r="B456" s="30"/>
      <c r="C456" s="20"/>
      <c r="D456" s="22"/>
      <c r="E456" s="20"/>
      <c r="F456" s="31" t="str">
        <f aca="false">IF($E456="","",IFERROR(INDEX('Food Library'!$B$6:$B$105,MATCH($E456,'Food Library'!$A$6:$A$105,0)),"?? code not in Library"))</f>
        <v/>
      </c>
      <c r="G456" s="32" t="str">
        <f aca="false">IF($E456="","",IFERROR(INDEX('Food Library'!$D$6:$D$105,MATCH($E456,'Food Library'!$A$6:$A$105,0)),""))</f>
        <v/>
      </c>
      <c r="H456" s="20"/>
      <c r="I456" s="20"/>
      <c r="J456" s="20"/>
      <c r="K456" s="20"/>
      <c r="L456" s="21"/>
    </row>
    <row r="457" customFormat="false" ht="15" hidden="false" customHeight="false" outlineLevel="0" collapsed="false">
      <c r="A457" s="20"/>
      <c r="B457" s="30"/>
      <c r="C457" s="20"/>
      <c r="D457" s="22"/>
      <c r="E457" s="20"/>
      <c r="F457" s="31" t="str">
        <f aca="false">IF($E457="","",IFERROR(INDEX('Food Library'!$B$6:$B$105,MATCH($E457,'Food Library'!$A$6:$A$105,0)),"?? code not in Library"))</f>
        <v/>
      </c>
      <c r="G457" s="32" t="str">
        <f aca="false">IF($E457="","",IFERROR(INDEX('Food Library'!$D$6:$D$105,MATCH($E457,'Food Library'!$A$6:$A$105,0)),""))</f>
        <v/>
      </c>
      <c r="H457" s="20"/>
      <c r="I457" s="20"/>
      <c r="J457" s="20"/>
      <c r="K457" s="20"/>
      <c r="L457" s="21"/>
    </row>
    <row r="458" customFormat="false" ht="15" hidden="false" customHeight="false" outlineLevel="0" collapsed="false">
      <c r="A458" s="20"/>
      <c r="B458" s="30"/>
      <c r="C458" s="20"/>
      <c r="D458" s="22"/>
      <c r="E458" s="20"/>
      <c r="F458" s="31" t="str">
        <f aca="false">IF($E458="","",IFERROR(INDEX('Food Library'!$B$6:$B$105,MATCH($E458,'Food Library'!$A$6:$A$105,0)),"?? code not in Library"))</f>
        <v/>
      </c>
      <c r="G458" s="32" t="str">
        <f aca="false">IF($E458="","",IFERROR(INDEX('Food Library'!$D$6:$D$105,MATCH($E458,'Food Library'!$A$6:$A$105,0)),""))</f>
        <v/>
      </c>
      <c r="H458" s="20"/>
      <c r="I458" s="20"/>
      <c r="J458" s="20"/>
      <c r="K458" s="20"/>
      <c r="L458" s="21"/>
    </row>
    <row r="459" customFormat="false" ht="15" hidden="false" customHeight="false" outlineLevel="0" collapsed="false">
      <c r="A459" s="20"/>
      <c r="B459" s="30"/>
      <c r="C459" s="20"/>
      <c r="D459" s="22"/>
      <c r="E459" s="20"/>
      <c r="F459" s="31" t="str">
        <f aca="false">IF($E459="","",IFERROR(INDEX('Food Library'!$B$6:$B$105,MATCH($E459,'Food Library'!$A$6:$A$105,0)),"?? code not in Library"))</f>
        <v/>
      </c>
      <c r="G459" s="32" t="str">
        <f aca="false">IF($E459="","",IFERROR(INDEX('Food Library'!$D$6:$D$105,MATCH($E459,'Food Library'!$A$6:$A$105,0)),""))</f>
        <v/>
      </c>
      <c r="H459" s="20"/>
      <c r="I459" s="20"/>
      <c r="J459" s="20"/>
      <c r="K459" s="20"/>
      <c r="L459" s="21"/>
    </row>
    <row r="460" customFormat="false" ht="15" hidden="false" customHeight="false" outlineLevel="0" collapsed="false">
      <c r="A460" s="20"/>
      <c r="B460" s="30"/>
      <c r="C460" s="20"/>
      <c r="D460" s="22"/>
      <c r="E460" s="20"/>
      <c r="F460" s="31" t="str">
        <f aca="false">IF($E460="","",IFERROR(INDEX('Food Library'!$B$6:$B$105,MATCH($E460,'Food Library'!$A$6:$A$105,0)),"?? code not in Library"))</f>
        <v/>
      </c>
      <c r="G460" s="32" t="str">
        <f aca="false">IF($E460="","",IFERROR(INDEX('Food Library'!$D$6:$D$105,MATCH($E460,'Food Library'!$A$6:$A$105,0)),""))</f>
        <v/>
      </c>
      <c r="H460" s="20"/>
      <c r="I460" s="20"/>
      <c r="J460" s="20"/>
      <c r="K460" s="20"/>
      <c r="L460" s="21"/>
    </row>
    <row r="461" customFormat="false" ht="15" hidden="false" customHeight="false" outlineLevel="0" collapsed="false">
      <c r="A461" s="20"/>
      <c r="B461" s="30"/>
      <c r="C461" s="20"/>
      <c r="D461" s="22"/>
      <c r="E461" s="20"/>
      <c r="F461" s="31" t="str">
        <f aca="false">IF($E461="","",IFERROR(INDEX('Food Library'!$B$6:$B$105,MATCH($E461,'Food Library'!$A$6:$A$105,0)),"?? code not in Library"))</f>
        <v/>
      </c>
      <c r="G461" s="32" t="str">
        <f aca="false">IF($E461="","",IFERROR(INDEX('Food Library'!$D$6:$D$105,MATCH($E461,'Food Library'!$A$6:$A$105,0)),""))</f>
        <v/>
      </c>
      <c r="H461" s="20"/>
      <c r="I461" s="20"/>
      <c r="J461" s="20"/>
      <c r="K461" s="20"/>
      <c r="L461" s="21"/>
    </row>
    <row r="462" customFormat="false" ht="15" hidden="false" customHeight="false" outlineLevel="0" collapsed="false">
      <c r="A462" s="20"/>
      <c r="B462" s="30"/>
      <c r="C462" s="20"/>
      <c r="D462" s="22"/>
      <c r="E462" s="20"/>
      <c r="F462" s="31" t="str">
        <f aca="false">IF($E462="","",IFERROR(INDEX('Food Library'!$B$6:$B$105,MATCH($E462,'Food Library'!$A$6:$A$105,0)),"?? code not in Library"))</f>
        <v/>
      </c>
      <c r="G462" s="32" t="str">
        <f aca="false">IF($E462="","",IFERROR(INDEX('Food Library'!$D$6:$D$105,MATCH($E462,'Food Library'!$A$6:$A$105,0)),""))</f>
        <v/>
      </c>
      <c r="H462" s="20"/>
      <c r="I462" s="20"/>
      <c r="J462" s="20"/>
      <c r="K462" s="20"/>
      <c r="L462" s="21"/>
    </row>
    <row r="463" customFormat="false" ht="15" hidden="false" customHeight="false" outlineLevel="0" collapsed="false">
      <c r="A463" s="20"/>
      <c r="B463" s="30"/>
      <c r="C463" s="20"/>
      <c r="D463" s="22"/>
      <c r="E463" s="20"/>
      <c r="F463" s="31" t="str">
        <f aca="false">IF($E463="","",IFERROR(INDEX('Food Library'!$B$6:$B$105,MATCH($E463,'Food Library'!$A$6:$A$105,0)),"?? code not in Library"))</f>
        <v/>
      </c>
      <c r="G463" s="32" t="str">
        <f aca="false">IF($E463="","",IFERROR(INDEX('Food Library'!$D$6:$D$105,MATCH($E463,'Food Library'!$A$6:$A$105,0)),""))</f>
        <v/>
      </c>
      <c r="H463" s="20"/>
      <c r="I463" s="20"/>
      <c r="J463" s="20"/>
      <c r="K463" s="20"/>
      <c r="L463" s="21"/>
    </row>
    <row r="464" customFormat="false" ht="15" hidden="false" customHeight="false" outlineLevel="0" collapsed="false">
      <c r="A464" s="20"/>
      <c r="B464" s="30"/>
      <c r="C464" s="20"/>
      <c r="D464" s="22"/>
      <c r="E464" s="20"/>
      <c r="F464" s="31" t="str">
        <f aca="false">IF($E464="","",IFERROR(INDEX('Food Library'!$B$6:$B$105,MATCH($E464,'Food Library'!$A$6:$A$105,0)),"?? code not in Library"))</f>
        <v/>
      </c>
      <c r="G464" s="32" t="str">
        <f aca="false">IF($E464="","",IFERROR(INDEX('Food Library'!$D$6:$D$105,MATCH($E464,'Food Library'!$A$6:$A$105,0)),""))</f>
        <v/>
      </c>
      <c r="H464" s="20"/>
      <c r="I464" s="20"/>
      <c r="J464" s="20"/>
      <c r="K464" s="20"/>
      <c r="L464" s="21"/>
    </row>
    <row r="465" customFormat="false" ht="15" hidden="false" customHeight="false" outlineLevel="0" collapsed="false">
      <c r="A465" s="20"/>
      <c r="B465" s="30"/>
      <c r="C465" s="20"/>
      <c r="D465" s="22"/>
      <c r="E465" s="20"/>
      <c r="F465" s="31" t="str">
        <f aca="false">IF($E465="","",IFERROR(INDEX('Food Library'!$B$6:$B$105,MATCH($E465,'Food Library'!$A$6:$A$105,0)),"?? code not in Library"))</f>
        <v/>
      </c>
      <c r="G465" s="32" t="str">
        <f aca="false">IF($E465="","",IFERROR(INDEX('Food Library'!$D$6:$D$105,MATCH($E465,'Food Library'!$A$6:$A$105,0)),""))</f>
        <v/>
      </c>
      <c r="H465" s="20"/>
      <c r="I465" s="20"/>
      <c r="J465" s="20"/>
      <c r="K465" s="20"/>
      <c r="L465" s="21"/>
    </row>
    <row r="466" customFormat="false" ht="15" hidden="false" customHeight="false" outlineLevel="0" collapsed="false">
      <c r="A466" s="20"/>
      <c r="B466" s="30"/>
      <c r="C466" s="20"/>
      <c r="D466" s="22"/>
      <c r="E466" s="20"/>
      <c r="F466" s="31" t="str">
        <f aca="false">IF($E466="","",IFERROR(INDEX('Food Library'!$B$6:$B$105,MATCH($E466,'Food Library'!$A$6:$A$105,0)),"?? code not in Library"))</f>
        <v/>
      </c>
      <c r="G466" s="32" t="str">
        <f aca="false">IF($E466="","",IFERROR(INDEX('Food Library'!$D$6:$D$105,MATCH($E466,'Food Library'!$A$6:$A$105,0)),""))</f>
        <v/>
      </c>
      <c r="H466" s="20"/>
      <c r="I466" s="20"/>
      <c r="J466" s="20"/>
      <c r="K466" s="20"/>
      <c r="L466" s="21"/>
    </row>
    <row r="467" customFormat="false" ht="15" hidden="false" customHeight="false" outlineLevel="0" collapsed="false">
      <c r="A467" s="20"/>
      <c r="B467" s="30"/>
      <c r="C467" s="20"/>
      <c r="D467" s="22"/>
      <c r="E467" s="20"/>
      <c r="F467" s="31" t="str">
        <f aca="false">IF($E467="","",IFERROR(INDEX('Food Library'!$B$6:$B$105,MATCH($E467,'Food Library'!$A$6:$A$105,0)),"?? code not in Library"))</f>
        <v/>
      </c>
      <c r="G467" s="32" t="str">
        <f aca="false">IF($E467="","",IFERROR(INDEX('Food Library'!$D$6:$D$105,MATCH($E467,'Food Library'!$A$6:$A$105,0)),""))</f>
        <v/>
      </c>
      <c r="H467" s="20"/>
      <c r="I467" s="20"/>
      <c r="J467" s="20"/>
      <c r="K467" s="20"/>
      <c r="L467" s="21"/>
    </row>
    <row r="468" customFormat="false" ht="15" hidden="false" customHeight="false" outlineLevel="0" collapsed="false">
      <c r="A468" s="20"/>
      <c r="B468" s="30"/>
      <c r="C468" s="20"/>
      <c r="D468" s="22"/>
      <c r="E468" s="20"/>
      <c r="F468" s="31" t="str">
        <f aca="false">IF($E468="","",IFERROR(INDEX('Food Library'!$B$6:$B$105,MATCH($E468,'Food Library'!$A$6:$A$105,0)),"?? code not in Library"))</f>
        <v/>
      </c>
      <c r="G468" s="32" t="str">
        <f aca="false">IF($E468="","",IFERROR(INDEX('Food Library'!$D$6:$D$105,MATCH($E468,'Food Library'!$A$6:$A$105,0)),""))</f>
        <v/>
      </c>
      <c r="H468" s="20"/>
      <c r="I468" s="20"/>
      <c r="J468" s="20"/>
      <c r="K468" s="20"/>
      <c r="L468" s="21"/>
    </row>
    <row r="469" customFormat="false" ht="15" hidden="false" customHeight="false" outlineLevel="0" collapsed="false">
      <c r="A469" s="20"/>
      <c r="B469" s="30"/>
      <c r="C469" s="20"/>
      <c r="D469" s="22"/>
      <c r="E469" s="20"/>
      <c r="F469" s="31" t="str">
        <f aca="false">IF($E469="","",IFERROR(INDEX('Food Library'!$B$6:$B$105,MATCH($E469,'Food Library'!$A$6:$A$105,0)),"?? code not in Library"))</f>
        <v/>
      </c>
      <c r="G469" s="32" t="str">
        <f aca="false">IF($E469="","",IFERROR(INDEX('Food Library'!$D$6:$D$105,MATCH($E469,'Food Library'!$A$6:$A$105,0)),""))</f>
        <v/>
      </c>
      <c r="H469" s="20"/>
      <c r="I469" s="20"/>
      <c r="J469" s="20"/>
      <c r="K469" s="20"/>
      <c r="L469" s="21"/>
    </row>
    <row r="470" customFormat="false" ht="15" hidden="false" customHeight="false" outlineLevel="0" collapsed="false">
      <c r="A470" s="20"/>
      <c r="B470" s="30"/>
      <c r="C470" s="20"/>
      <c r="D470" s="22"/>
      <c r="E470" s="20"/>
      <c r="F470" s="31" t="str">
        <f aca="false">IF($E470="","",IFERROR(INDEX('Food Library'!$B$6:$B$105,MATCH($E470,'Food Library'!$A$6:$A$105,0)),"?? code not in Library"))</f>
        <v/>
      </c>
      <c r="G470" s="32" t="str">
        <f aca="false">IF($E470="","",IFERROR(INDEX('Food Library'!$D$6:$D$105,MATCH($E470,'Food Library'!$A$6:$A$105,0)),""))</f>
        <v/>
      </c>
      <c r="H470" s="20"/>
      <c r="I470" s="20"/>
      <c r="J470" s="20"/>
      <c r="K470" s="20"/>
      <c r="L470" s="21"/>
    </row>
    <row r="471" customFormat="false" ht="15" hidden="false" customHeight="false" outlineLevel="0" collapsed="false">
      <c r="A471" s="20"/>
      <c r="B471" s="30"/>
      <c r="C471" s="20"/>
      <c r="D471" s="22"/>
      <c r="E471" s="20"/>
      <c r="F471" s="31" t="str">
        <f aca="false">IF($E471="","",IFERROR(INDEX('Food Library'!$B$6:$B$105,MATCH($E471,'Food Library'!$A$6:$A$105,0)),"?? code not in Library"))</f>
        <v/>
      </c>
      <c r="G471" s="32" t="str">
        <f aca="false">IF($E471="","",IFERROR(INDEX('Food Library'!$D$6:$D$105,MATCH($E471,'Food Library'!$A$6:$A$105,0)),""))</f>
        <v/>
      </c>
      <c r="H471" s="20"/>
      <c r="I471" s="20"/>
      <c r="J471" s="20"/>
      <c r="K471" s="20"/>
      <c r="L471" s="21"/>
    </row>
    <row r="472" customFormat="false" ht="15" hidden="false" customHeight="false" outlineLevel="0" collapsed="false">
      <c r="A472" s="20"/>
      <c r="B472" s="30"/>
      <c r="C472" s="20"/>
      <c r="D472" s="22"/>
      <c r="E472" s="20"/>
      <c r="F472" s="31" t="str">
        <f aca="false">IF($E472="","",IFERROR(INDEX('Food Library'!$B$6:$B$105,MATCH($E472,'Food Library'!$A$6:$A$105,0)),"?? code not in Library"))</f>
        <v/>
      </c>
      <c r="G472" s="32" t="str">
        <f aca="false">IF($E472="","",IFERROR(INDEX('Food Library'!$D$6:$D$105,MATCH($E472,'Food Library'!$A$6:$A$105,0)),""))</f>
        <v/>
      </c>
      <c r="H472" s="20"/>
      <c r="I472" s="20"/>
      <c r="J472" s="20"/>
      <c r="K472" s="20"/>
      <c r="L472" s="21"/>
    </row>
    <row r="473" customFormat="false" ht="15" hidden="false" customHeight="false" outlineLevel="0" collapsed="false">
      <c r="A473" s="20"/>
      <c r="B473" s="30"/>
      <c r="C473" s="20"/>
      <c r="D473" s="22"/>
      <c r="E473" s="20"/>
      <c r="F473" s="31" t="str">
        <f aca="false">IF($E473="","",IFERROR(INDEX('Food Library'!$B$6:$B$105,MATCH($E473,'Food Library'!$A$6:$A$105,0)),"?? code not in Library"))</f>
        <v/>
      </c>
      <c r="G473" s="32" t="str">
        <f aca="false">IF($E473="","",IFERROR(INDEX('Food Library'!$D$6:$D$105,MATCH($E473,'Food Library'!$A$6:$A$105,0)),""))</f>
        <v/>
      </c>
      <c r="H473" s="20"/>
      <c r="I473" s="20"/>
      <c r="J473" s="20"/>
      <c r="K473" s="20"/>
      <c r="L473" s="21"/>
    </row>
    <row r="474" customFormat="false" ht="15" hidden="false" customHeight="false" outlineLevel="0" collapsed="false">
      <c r="A474" s="20"/>
      <c r="B474" s="30"/>
      <c r="C474" s="20"/>
      <c r="D474" s="22"/>
      <c r="E474" s="20"/>
      <c r="F474" s="31" t="str">
        <f aca="false">IF($E474="","",IFERROR(INDEX('Food Library'!$B$6:$B$105,MATCH($E474,'Food Library'!$A$6:$A$105,0)),"?? code not in Library"))</f>
        <v/>
      </c>
      <c r="G474" s="32" t="str">
        <f aca="false">IF($E474="","",IFERROR(INDEX('Food Library'!$D$6:$D$105,MATCH($E474,'Food Library'!$A$6:$A$105,0)),""))</f>
        <v/>
      </c>
      <c r="H474" s="20"/>
      <c r="I474" s="20"/>
      <c r="J474" s="20"/>
      <c r="K474" s="20"/>
      <c r="L474" s="21"/>
    </row>
    <row r="475" customFormat="false" ht="15" hidden="false" customHeight="false" outlineLevel="0" collapsed="false">
      <c r="A475" s="20"/>
      <c r="B475" s="30"/>
      <c r="C475" s="20"/>
      <c r="D475" s="22"/>
      <c r="E475" s="20"/>
      <c r="F475" s="31" t="str">
        <f aca="false">IF($E475="","",IFERROR(INDEX('Food Library'!$B$6:$B$105,MATCH($E475,'Food Library'!$A$6:$A$105,0)),"?? code not in Library"))</f>
        <v/>
      </c>
      <c r="G475" s="32" t="str">
        <f aca="false">IF($E475="","",IFERROR(INDEX('Food Library'!$D$6:$D$105,MATCH($E475,'Food Library'!$A$6:$A$105,0)),""))</f>
        <v/>
      </c>
      <c r="H475" s="20"/>
      <c r="I475" s="20"/>
      <c r="J475" s="20"/>
      <c r="K475" s="20"/>
      <c r="L475" s="21"/>
    </row>
    <row r="476" customFormat="false" ht="15" hidden="false" customHeight="false" outlineLevel="0" collapsed="false">
      <c r="A476" s="20"/>
      <c r="B476" s="30"/>
      <c r="C476" s="20"/>
      <c r="D476" s="22"/>
      <c r="E476" s="20"/>
      <c r="F476" s="31" t="str">
        <f aca="false">IF($E476="","",IFERROR(INDEX('Food Library'!$B$6:$B$105,MATCH($E476,'Food Library'!$A$6:$A$105,0)),"?? code not in Library"))</f>
        <v/>
      </c>
      <c r="G476" s="32" t="str">
        <f aca="false">IF($E476="","",IFERROR(INDEX('Food Library'!$D$6:$D$105,MATCH($E476,'Food Library'!$A$6:$A$105,0)),""))</f>
        <v/>
      </c>
      <c r="H476" s="20"/>
      <c r="I476" s="20"/>
      <c r="J476" s="20"/>
      <c r="K476" s="20"/>
      <c r="L476" s="21"/>
    </row>
    <row r="477" customFormat="false" ht="15" hidden="false" customHeight="false" outlineLevel="0" collapsed="false">
      <c r="A477" s="20"/>
      <c r="B477" s="30"/>
      <c r="C477" s="20"/>
      <c r="D477" s="22"/>
      <c r="E477" s="20"/>
      <c r="F477" s="31" t="str">
        <f aca="false">IF($E477="","",IFERROR(INDEX('Food Library'!$B$6:$B$105,MATCH($E477,'Food Library'!$A$6:$A$105,0)),"?? code not in Library"))</f>
        <v/>
      </c>
      <c r="G477" s="32" t="str">
        <f aca="false">IF($E477="","",IFERROR(INDEX('Food Library'!$D$6:$D$105,MATCH($E477,'Food Library'!$A$6:$A$105,0)),""))</f>
        <v/>
      </c>
      <c r="H477" s="20"/>
      <c r="I477" s="20"/>
      <c r="J477" s="20"/>
      <c r="K477" s="20"/>
      <c r="L477" s="21"/>
    </row>
    <row r="478" customFormat="false" ht="15" hidden="false" customHeight="false" outlineLevel="0" collapsed="false">
      <c r="A478" s="20"/>
      <c r="B478" s="30"/>
      <c r="C478" s="20"/>
      <c r="D478" s="22"/>
      <c r="E478" s="20"/>
      <c r="F478" s="31" t="str">
        <f aca="false">IF($E478="","",IFERROR(INDEX('Food Library'!$B$6:$B$105,MATCH($E478,'Food Library'!$A$6:$A$105,0)),"?? code not in Library"))</f>
        <v/>
      </c>
      <c r="G478" s="32" t="str">
        <f aca="false">IF($E478="","",IFERROR(INDEX('Food Library'!$D$6:$D$105,MATCH($E478,'Food Library'!$A$6:$A$105,0)),""))</f>
        <v/>
      </c>
      <c r="H478" s="20"/>
      <c r="I478" s="20"/>
      <c r="J478" s="20"/>
      <c r="K478" s="20"/>
      <c r="L478" s="21"/>
    </row>
    <row r="479" customFormat="false" ht="15" hidden="false" customHeight="false" outlineLevel="0" collapsed="false">
      <c r="A479" s="20"/>
      <c r="B479" s="30"/>
      <c r="C479" s="20"/>
      <c r="D479" s="22"/>
      <c r="E479" s="20"/>
      <c r="F479" s="31" t="str">
        <f aca="false">IF($E479="","",IFERROR(INDEX('Food Library'!$B$6:$B$105,MATCH($E479,'Food Library'!$A$6:$A$105,0)),"?? code not in Library"))</f>
        <v/>
      </c>
      <c r="G479" s="32" t="str">
        <f aca="false">IF($E479="","",IFERROR(INDEX('Food Library'!$D$6:$D$105,MATCH($E479,'Food Library'!$A$6:$A$105,0)),""))</f>
        <v/>
      </c>
      <c r="H479" s="20"/>
      <c r="I479" s="20"/>
      <c r="J479" s="20"/>
      <c r="K479" s="20"/>
      <c r="L479" s="21"/>
    </row>
    <row r="480" customFormat="false" ht="15" hidden="false" customHeight="false" outlineLevel="0" collapsed="false">
      <c r="A480" s="20"/>
      <c r="B480" s="30"/>
      <c r="C480" s="20"/>
      <c r="D480" s="22"/>
      <c r="E480" s="20"/>
      <c r="F480" s="31" t="str">
        <f aca="false">IF($E480="","",IFERROR(INDEX('Food Library'!$B$6:$B$105,MATCH($E480,'Food Library'!$A$6:$A$105,0)),"?? code not in Library"))</f>
        <v/>
      </c>
      <c r="G480" s="32" t="str">
        <f aca="false">IF($E480="","",IFERROR(INDEX('Food Library'!$D$6:$D$105,MATCH($E480,'Food Library'!$A$6:$A$105,0)),""))</f>
        <v/>
      </c>
      <c r="H480" s="20"/>
      <c r="I480" s="20"/>
      <c r="J480" s="20"/>
      <c r="K480" s="20"/>
      <c r="L480" s="21"/>
    </row>
    <row r="481" customFormat="false" ht="15" hidden="false" customHeight="false" outlineLevel="0" collapsed="false">
      <c r="A481" s="20"/>
      <c r="B481" s="30"/>
      <c r="C481" s="20"/>
      <c r="D481" s="22"/>
      <c r="E481" s="20"/>
      <c r="F481" s="31" t="str">
        <f aca="false">IF($E481="","",IFERROR(INDEX('Food Library'!$B$6:$B$105,MATCH($E481,'Food Library'!$A$6:$A$105,0)),"?? code not in Library"))</f>
        <v/>
      </c>
      <c r="G481" s="32" t="str">
        <f aca="false">IF($E481="","",IFERROR(INDEX('Food Library'!$D$6:$D$105,MATCH($E481,'Food Library'!$A$6:$A$105,0)),""))</f>
        <v/>
      </c>
      <c r="H481" s="20"/>
      <c r="I481" s="20"/>
      <c r="J481" s="20"/>
      <c r="K481" s="20"/>
      <c r="L481" s="21"/>
    </row>
    <row r="482" customFormat="false" ht="15" hidden="false" customHeight="false" outlineLevel="0" collapsed="false">
      <c r="A482" s="20"/>
      <c r="B482" s="30"/>
      <c r="C482" s="20"/>
      <c r="D482" s="22"/>
      <c r="E482" s="20"/>
      <c r="F482" s="31" t="str">
        <f aca="false">IF($E482="","",IFERROR(INDEX('Food Library'!$B$6:$B$105,MATCH($E482,'Food Library'!$A$6:$A$105,0)),"?? code not in Library"))</f>
        <v/>
      </c>
      <c r="G482" s="32" t="str">
        <f aca="false">IF($E482="","",IFERROR(INDEX('Food Library'!$D$6:$D$105,MATCH($E482,'Food Library'!$A$6:$A$105,0)),""))</f>
        <v/>
      </c>
      <c r="H482" s="20"/>
      <c r="I482" s="20"/>
      <c r="J482" s="20"/>
      <c r="K482" s="20"/>
      <c r="L482" s="21"/>
    </row>
    <row r="483" customFormat="false" ht="15" hidden="false" customHeight="false" outlineLevel="0" collapsed="false">
      <c r="A483" s="20"/>
      <c r="B483" s="30"/>
      <c r="C483" s="20"/>
      <c r="D483" s="22"/>
      <c r="E483" s="20"/>
      <c r="F483" s="31" t="str">
        <f aca="false">IF($E483="","",IFERROR(INDEX('Food Library'!$B$6:$B$105,MATCH($E483,'Food Library'!$A$6:$A$105,0)),"?? code not in Library"))</f>
        <v/>
      </c>
      <c r="G483" s="32" t="str">
        <f aca="false">IF($E483="","",IFERROR(INDEX('Food Library'!$D$6:$D$105,MATCH($E483,'Food Library'!$A$6:$A$105,0)),""))</f>
        <v/>
      </c>
      <c r="H483" s="20"/>
      <c r="I483" s="20"/>
      <c r="J483" s="20"/>
      <c r="K483" s="20"/>
      <c r="L483" s="21"/>
    </row>
    <row r="484" customFormat="false" ht="15" hidden="false" customHeight="false" outlineLevel="0" collapsed="false">
      <c r="A484" s="20"/>
      <c r="B484" s="30"/>
      <c r="C484" s="20"/>
      <c r="D484" s="22"/>
      <c r="E484" s="20"/>
      <c r="F484" s="31" t="str">
        <f aca="false">IF($E484="","",IFERROR(INDEX('Food Library'!$B$6:$B$105,MATCH($E484,'Food Library'!$A$6:$A$105,0)),"?? code not in Library"))</f>
        <v/>
      </c>
      <c r="G484" s="32" t="str">
        <f aca="false">IF($E484="","",IFERROR(INDEX('Food Library'!$D$6:$D$105,MATCH($E484,'Food Library'!$A$6:$A$105,0)),""))</f>
        <v/>
      </c>
      <c r="H484" s="20"/>
      <c r="I484" s="20"/>
      <c r="J484" s="20"/>
      <c r="K484" s="20"/>
      <c r="L484" s="21"/>
    </row>
    <row r="485" customFormat="false" ht="15" hidden="false" customHeight="false" outlineLevel="0" collapsed="false">
      <c r="A485" s="20"/>
      <c r="B485" s="30"/>
      <c r="C485" s="20"/>
      <c r="D485" s="22"/>
      <c r="E485" s="20"/>
      <c r="F485" s="31" t="str">
        <f aca="false">IF($E485="","",IFERROR(INDEX('Food Library'!$B$6:$B$105,MATCH($E485,'Food Library'!$A$6:$A$105,0)),"?? code not in Library"))</f>
        <v/>
      </c>
      <c r="G485" s="32" t="str">
        <f aca="false">IF($E485="","",IFERROR(INDEX('Food Library'!$D$6:$D$105,MATCH($E485,'Food Library'!$A$6:$A$105,0)),""))</f>
        <v/>
      </c>
      <c r="H485" s="20"/>
      <c r="I485" s="20"/>
      <c r="J485" s="20"/>
      <c r="K485" s="20"/>
      <c r="L485" s="21"/>
    </row>
    <row r="486" customFormat="false" ht="15" hidden="false" customHeight="false" outlineLevel="0" collapsed="false">
      <c r="A486" s="20"/>
      <c r="B486" s="30"/>
      <c r="C486" s="20"/>
      <c r="D486" s="22"/>
      <c r="E486" s="20"/>
      <c r="F486" s="31" t="str">
        <f aca="false">IF($E486="","",IFERROR(INDEX('Food Library'!$B$6:$B$105,MATCH($E486,'Food Library'!$A$6:$A$105,0)),"?? code not in Library"))</f>
        <v/>
      </c>
      <c r="G486" s="32" t="str">
        <f aca="false">IF($E486="","",IFERROR(INDEX('Food Library'!$D$6:$D$105,MATCH($E486,'Food Library'!$A$6:$A$105,0)),""))</f>
        <v/>
      </c>
      <c r="H486" s="20"/>
      <c r="I486" s="20"/>
      <c r="J486" s="20"/>
      <c r="K486" s="20"/>
      <c r="L486" s="21"/>
    </row>
    <row r="487" customFormat="false" ht="15" hidden="false" customHeight="false" outlineLevel="0" collapsed="false">
      <c r="A487" s="20"/>
      <c r="B487" s="30"/>
      <c r="C487" s="20"/>
      <c r="D487" s="22"/>
      <c r="E487" s="20"/>
      <c r="F487" s="31" t="str">
        <f aca="false">IF($E487="","",IFERROR(INDEX('Food Library'!$B$6:$B$105,MATCH($E487,'Food Library'!$A$6:$A$105,0)),"?? code not in Library"))</f>
        <v/>
      </c>
      <c r="G487" s="32" t="str">
        <f aca="false">IF($E487="","",IFERROR(INDEX('Food Library'!$D$6:$D$105,MATCH($E487,'Food Library'!$A$6:$A$105,0)),""))</f>
        <v/>
      </c>
      <c r="H487" s="20"/>
      <c r="I487" s="20"/>
      <c r="J487" s="20"/>
      <c r="K487" s="20"/>
      <c r="L487" s="21"/>
    </row>
    <row r="488" customFormat="false" ht="15" hidden="false" customHeight="false" outlineLevel="0" collapsed="false">
      <c r="A488" s="20"/>
      <c r="B488" s="30"/>
      <c r="C488" s="20"/>
      <c r="D488" s="22"/>
      <c r="E488" s="20"/>
      <c r="F488" s="31" t="str">
        <f aca="false">IF($E488="","",IFERROR(INDEX('Food Library'!$B$6:$B$105,MATCH($E488,'Food Library'!$A$6:$A$105,0)),"?? code not in Library"))</f>
        <v/>
      </c>
      <c r="G488" s="32" t="str">
        <f aca="false">IF($E488="","",IFERROR(INDEX('Food Library'!$D$6:$D$105,MATCH($E488,'Food Library'!$A$6:$A$105,0)),""))</f>
        <v/>
      </c>
      <c r="H488" s="20"/>
      <c r="I488" s="20"/>
      <c r="J488" s="20"/>
      <c r="K488" s="20"/>
      <c r="L488" s="21"/>
    </row>
    <row r="489" customFormat="false" ht="15" hidden="false" customHeight="false" outlineLevel="0" collapsed="false">
      <c r="A489" s="20"/>
      <c r="B489" s="30"/>
      <c r="C489" s="20"/>
      <c r="D489" s="22"/>
      <c r="E489" s="20"/>
      <c r="F489" s="31" t="str">
        <f aca="false">IF($E489="","",IFERROR(INDEX('Food Library'!$B$6:$B$105,MATCH($E489,'Food Library'!$A$6:$A$105,0)),"?? code not in Library"))</f>
        <v/>
      </c>
      <c r="G489" s="32" t="str">
        <f aca="false">IF($E489="","",IFERROR(INDEX('Food Library'!$D$6:$D$105,MATCH($E489,'Food Library'!$A$6:$A$105,0)),""))</f>
        <v/>
      </c>
      <c r="H489" s="20"/>
      <c r="I489" s="20"/>
      <c r="J489" s="20"/>
      <c r="K489" s="20"/>
      <c r="L489" s="21"/>
    </row>
    <row r="490" customFormat="false" ht="15" hidden="false" customHeight="false" outlineLevel="0" collapsed="false">
      <c r="A490" s="20"/>
      <c r="B490" s="30"/>
      <c r="C490" s="20"/>
      <c r="D490" s="22"/>
      <c r="E490" s="20"/>
      <c r="F490" s="31" t="str">
        <f aca="false">IF($E490="","",IFERROR(INDEX('Food Library'!$B$6:$B$105,MATCH($E490,'Food Library'!$A$6:$A$105,0)),"?? code not in Library"))</f>
        <v/>
      </c>
      <c r="G490" s="32" t="str">
        <f aca="false">IF($E490="","",IFERROR(INDEX('Food Library'!$D$6:$D$105,MATCH($E490,'Food Library'!$A$6:$A$105,0)),""))</f>
        <v/>
      </c>
      <c r="H490" s="20"/>
      <c r="I490" s="20"/>
      <c r="J490" s="20"/>
      <c r="K490" s="20"/>
      <c r="L490" s="21"/>
    </row>
    <row r="491" customFormat="false" ht="15" hidden="false" customHeight="false" outlineLevel="0" collapsed="false">
      <c r="A491" s="20"/>
      <c r="B491" s="30"/>
      <c r="C491" s="20"/>
      <c r="D491" s="22"/>
      <c r="E491" s="20"/>
      <c r="F491" s="31" t="str">
        <f aca="false">IF($E491="","",IFERROR(INDEX('Food Library'!$B$6:$B$105,MATCH($E491,'Food Library'!$A$6:$A$105,0)),"?? code not in Library"))</f>
        <v/>
      </c>
      <c r="G491" s="32" t="str">
        <f aca="false">IF($E491="","",IFERROR(INDEX('Food Library'!$D$6:$D$105,MATCH($E491,'Food Library'!$A$6:$A$105,0)),""))</f>
        <v/>
      </c>
      <c r="H491" s="20"/>
      <c r="I491" s="20"/>
      <c r="J491" s="20"/>
      <c r="K491" s="20"/>
      <c r="L491" s="21"/>
    </row>
    <row r="492" customFormat="false" ht="15" hidden="false" customHeight="false" outlineLevel="0" collapsed="false">
      <c r="A492" s="20"/>
      <c r="B492" s="30"/>
      <c r="C492" s="20"/>
      <c r="D492" s="22"/>
      <c r="E492" s="20"/>
      <c r="F492" s="31" t="str">
        <f aca="false">IF($E492="","",IFERROR(INDEX('Food Library'!$B$6:$B$105,MATCH($E492,'Food Library'!$A$6:$A$105,0)),"?? code not in Library"))</f>
        <v/>
      </c>
      <c r="G492" s="32" t="str">
        <f aca="false">IF($E492="","",IFERROR(INDEX('Food Library'!$D$6:$D$105,MATCH($E492,'Food Library'!$A$6:$A$105,0)),""))</f>
        <v/>
      </c>
      <c r="H492" s="20"/>
      <c r="I492" s="20"/>
      <c r="J492" s="20"/>
      <c r="K492" s="20"/>
      <c r="L492" s="21"/>
    </row>
    <row r="493" customFormat="false" ht="15" hidden="false" customHeight="false" outlineLevel="0" collapsed="false">
      <c r="A493" s="20"/>
      <c r="B493" s="30"/>
      <c r="C493" s="20"/>
      <c r="D493" s="22"/>
      <c r="E493" s="20"/>
      <c r="F493" s="31" t="str">
        <f aca="false">IF($E493="","",IFERROR(INDEX('Food Library'!$B$6:$B$105,MATCH($E493,'Food Library'!$A$6:$A$105,0)),"?? code not in Library"))</f>
        <v/>
      </c>
      <c r="G493" s="32" t="str">
        <f aca="false">IF($E493="","",IFERROR(INDEX('Food Library'!$D$6:$D$105,MATCH($E493,'Food Library'!$A$6:$A$105,0)),""))</f>
        <v/>
      </c>
      <c r="H493" s="20"/>
      <c r="I493" s="20"/>
      <c r="J493" s="20"/>
      <c r="K493" s="20"/>
      <c r="L493" s="21"/>
    </row>
    <row r="494" customFormat="false" ht="15" hidden="false" customHeight="false" outlineLevel="0" collapsed="false">
      <c r="A494" s="20"/>
      <c r="B494" s="30"/>
      <c r="C494" s="20"/>
      <c r="D494" s="22"/>
      <c r="E494" s="20"/>
      <c r="F494" s="31" t="str">
        <f aca="false">IF($E494="","",IFERROR(INDEX('Food Library'!$B$6:$B$105,MATCH($E494,'Food Library'!$A$6:$A$105,0)),"?? code not in Library"))</f>
        <v/>
      </c>
      <c r="G494" s="32" t="str">
        <f aca="false">IF($E494="","",IFERROR(INDEX('Food Library'!$D$6:$D$105,MATCH($E494,'Food Library'!$A$6:$A$105,0)),""))</f>
        <v/>
      </c>
      <c r="H494" s="20"/>
      <c r="I494" s="20"/>
      <c r="J494" s="20"/>
      <c r="K494" s="20"/>
      <c r="L494" s="21"/>
    </row>
    <row r="495" customFormat="false" ht="15" hidden="false" customHeight="false" outlineLevel="0" collapsed="false">
      <c r="A495" s="20"/>
      <c r="B495" s="30"/>
      <c r="C495" s="20"/>
      <c r="D495" s="22"/>
      <c r="E495" s="20"/>
      <c r="F495" s="31" t="str">
        <f aca="false">IF($E495="","",IFERROR(INDEX('Food Library'!$B$6:$B$105,MATCH($E495,'Food Library'!$A$6:$A$105,0)),"?? code not in Library"))</f>
        <v/>
      </c>
      <c r="G495" s="32" t="str">
        <f aca="false">IF($E495="","",IFERROR(INDEX('Food Library'!$D$6:$D$105,MATCH($E495,'Food Library'!$A$6:$A$105,0)),""))</f>
        <v/>
      </c>
      <c r="H495" s="20"/>
      <c r="I495" s="20"/>
      <c r="J495" s="20"/>
      <c r="K495" s="20"/>
      <c r="L495" s="21"/>
    </row>
    <row r="496" customFormat="false" ht="15" hidden="false" customHeight="false" outlineLevel="0" collapsed="false">
      <c r="A496" s="20"/>
      <c r="B496" s="30"/>
      <c r="C496" s="20"/>
      <c r="D496" s="22"/>
      <c r="E496" s="20"/>
      <c r="F496" s="31" t="str">
        <f aca="false">IF($E496="","",IFERROR(INDEX('Food Library'!$B$6:$B$105,MATCH($E496,'Food Library'!$A$6:$A$105,0)),"?? code not in Library"))</f>
        <v/>
      </c>
      <c r="G496" s="32" t="str">
        <f aca="false">IF($E496="","",IFERROR(INDEX('Food Library'!$D$6:$D$105,MATCH($E496,'Food Library'!$A$6:$A$105,0)),""))</f>
        <v/>
      </c>
      <c r="H496" s="20"/>
      <c r="I496" s="20"/>
      <c r="J496" s="20"/>
      <c r="K496" s="20"/>
      <c r="L496" s="21"/>
    </row>
    <row r="497" customFormat="false" ht="15" hidden="false" customHeight="false" outlineLevel="0" collapsed="false">
      <c r="A497" s="20"/>
      <c r="B497" s="30"/>
      <c r="C497" s="20"/>
      <c r="D497" s="22"/>
      <c r="E497" s="20"/>
      <c r="F497" s="31" t="str">
        <f aca="false">IF($E497="","",IFERROR(INDEX('Food Library'!$B$6:$B$105,MATCH($E497,'Food Library'!$A$6:$A$105,0)),"?? code not in Library"))</f>
        <v/>
      </c>
      <c r="G497" s="32" t="str">
        <f aca="false">IF($E497="","",IFERROR(INDEX('Food Library'!$D$6:$D$105,MATCH($E497,'Food Library'!$A$6:$A$105,0)),""))</f>
        <v/>
      </c>
      <c r="H497" s="20"/>
      <c r="I497" s="20"/>
      <c r="J497" s="20"/>
      <c r="K497" s="20"/>
      <c r="L497" s="21"/>
    </row>
    <row r="498" customFormat="false" ht="15" hidden="false" customHeight="false" outlineLevel="0" collapsed="false">
      <c r="A498" s="20"/>
      <c r="B498" s="30"/>
      <c r="C498" s="20"/>
      <c r="D498" s="22"/>
      <c r="E498" s="20"/>
      <c r="F498" s="31" t="str">
        <f aca="false">IF($E498="","",IFERROR(INDEX('Food Library'!$B$6:$B$105,MATCH($E498,'Food Library'!$A$6:$A$105,0)),"?? code not in Library"))</f>
        <v/>
      </c>
      <c r="G498" s="32" t="str">
        <f aca="false">IF($E498="","",IFERROR(INDEX('Food Library'!$D$6:$D$105,MATCH($E498,'Food Library'!$A$6:$A$105,0)),""))</f>
        <v/>
      </c>
      <c r="H498" s="20"/>
      <c r="I498" s="20"/>
      <c r="J498" s="20"/>
      <c r="K498" s="20"/>
      <c r="L498" s="21"/>
    </row>
    <row r="499" customFormat="false" ht="15" hidden="false" customHeight="false" outlineLevel="0" collapsed="false">
      <c r="A499" s="20"/>
      <c r="B499" s="30"/>
      <c r="C499" s="20"/>
      <c r="D499" s="22"/>
      <c r="E499" s="20"/>
      <c r="F499" s="31" t="str">
        <f aca="false">IF($E499="","",IFERROR(INDEX('Food Library'!$B$6:$B$105,MATCH($E499,'Food Library'!$A$6:$A$105,0)),"?? code not in Library"))</f>
        <v/>
      </c>
      <c r="G499" s="32" t="str">
        <f aca="false">IF($E499="","",IFERROR(INDEX('Food Library'!$D$6:$D$105,MATCH($E499,'Food Library'!$A$6:$A$105,0)),""))</f>
        <v/>
      </c>
      <c r="H499" s="20"/>
      <c r="I499" s="20"/>
      <c r="J499" s="20"/>
      <c r="K499" s="20"/>
      <c r="L499" s="21"/>
    </row>
    <row r="500" customFormat="false" ht="15" hidden="false" customHeight="false" outlineLevel="0" collapsed="false">
      <c r="A500" s="20"/>
      <c r="B500" s="30"/>
      <c r="C500" s="20"/>
      <c r="D500" s="22"/>
      <c r="E500" s="20"/>
      <c r="F500" s="31" t="str">
        <f aca="false">IF($E500="","",IFERROR(INDEX('Food Library'!$B$6:$B$105,MATCH($E500,'Food Library'!$A$6:$A$105,0)),"?? code not in Library"))</f>
        <v/>
      </c>
      <c r="G500" s="32" t="str">
        <f aca="false">IF($E500="","",IFERROR(INDEX('Food Library'!$D$6:$D$105,MATCH($E500,'Food Library'!$A$6:$A$105,0)),""))</f>
        <v/>
      </c>
      <c r="H500" s="20"/>
      <c r="I500" s="20"/>
      <c r="J500" s="20"/>
      <c r="K500" s="20"/>
      <c r="L500" s="21"/>
    </row>
  </sheetData>
  <autoFilter ref="A5:L500"/>
  <dataValidations count="4">
    <dataValidation allowBlank="true" errorStyle="stop" operator="between" showDropDown="false" showErrorMessage="false" showInputMessage="false" sqref="C7:C500" type="list">
      <formula1>Lists!$A$2:$A$9</formula1>
      <formula2>0</formula2>
    </dataValidation>
    <dataValidation allowBlank="true" errorStyle="stop" operator="between" showDropDown="false" showErrorMessage="false" showInputMessage="false" sqref="I7:I500" type="list">
      <formula1>Lists!$B$2:$B$3</formula1>
      <formula2>0</formula2>
    </dataValidation>
    <dataValidation allowBlank="true" errorStyle="stop" operator="between" showDropDown="false" showErrorMessage="false" showInputMessage="false" sqref="J7:J500" type="list">
      <formula1>Lists!$C$2:$C$5</formula1>
      <formula2>0</formula2>
    </dataValidation>
    <dataValidation allowBlank="true" error="Day must be 1-7." errorStyle="stop" errorTitle="Day 1-7" operator="between" showDropDown="false" showErrorMessage="false" showInputMessage="false" sqref="A7:A500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33" t="s">
        <v>88</v>
      </c>
      <c r="B1" s="33" t="s">
        <v>89</v>
      </c>
      <c r="C1" s="33" t="s">
        <v>90</v>
      </c>
      <c r="D1" s="33" t="s">
        <v>91</v>
      </c>
    </row>
    <row r="2" customFormat="false" ht="15" hidden="false" customHeight="false" outlineLevel="0" collapsed="false">
      <c r="A2" s="0" t="s">
        <v>82</v>
      </c>
      <c r="B2" s="0" t="s">
        <v>83</v>
      </c>
      <c r="C2" s="0" t="s">
        <v>92</v>
      </c>
      <c r="D2" s="0" t="s">
        <v>53</v>
      </c>
    </row>
    <row r="3" customFormat="false" ht="15" hidden="false" customHeight="false" outlineLevel="0" collapsed="false">
      <c r="A3" s="0" t="s">
        <v>93</v>
      </c>
      <c r="B3" s="0" t="s">
        <v>94</v>
      </c>
      <c r="C3" s="0" t="s">
        <v>95</v>
      </c>
      <c r="D3" s="0" t="s">
        <v>96</v>
      </c>
    </row>
    <row r="4" customFormat="false" ht="15" hidden="false" customHeight="false" outlineLevel="0" collapsed="false">
      <c r="A4" s="0" t="s">
        <v>97</v>
      </c>
      <c r="C4" s="0" t="s">
        <v>98</v>
      </c>
      <c r="D4" s="0" t="s">
        <v>99</v>
      </c>
    </row>
    <row r="5" customFormat="false" ht="15" hidden="false" customHeight="false" outlineLevel="0" collapsed="false">
      <c r="A5" s="0" t="s">
        <v>100</v>
      </c>
      <c r="C5" s="0" t="s">
        <v>101</v>
      </c>
      <c r="D5" s="0" t="s">
        <v>102</v>
      </c>
    </row>
    <row r="6" customFormat="false" ht="15" hidden="false" customHeight="false" outlineLevel="0" collapsed="false">
      <c r="A6" s="0" t="s">
        <v>103</v>
      </c>
      <c r="D6" s="0" t="s">
        <v>104</v>
      </c>
    </row>
    <row r="7" customFormat="false" ht="15" hidden="false" customHeight="false" outlineLevel="0" collapsed="false">
      <c r="A7" s="0" t="s">
        <v>105</v>
      </c>
      <c r="D7" s="0" t="s">
        <v>106</v>
      </c>
    </row>
    <row r="8" customFormat="false" ht="15" hidden="false" customHeight="false" outlineLevel="0" collapsed="false">
      <c r="A8" s="0" t="s">
        <v>107</v>
      </c>
      <c r="D8" s="0" t="s">
        <v>108</v>
      </c>
    </row>
    <row r="9" customFormat="false" ht="15" hidden="false" customHeight="false" outlineLevel="0" collapsed="false">
      <c r="A9" s="0" t="s">
        <v>109</v>
      </c>
      <c r="D9" s="0" t="s">
        <v>110</v>
      </c>
    </row>
    <row r="10" customFormat="false" ht="15" hidden="false" customHeight="false" outlineLevel="0" collapsed="false">
      <c r="D10" s="0" t="s">
        <v>111</v>
      </c>
    </row>
    <row r="11" customFormat="false" ht="15" hidden="false" customHeight="false" outlineLevel="0" collapsed="false">
      <c r="D11" s="0" t="s">
        <v>112</v>
      </c>
    </row>
    <row r="12" customFormat="false" ht="15" hidden="false" customHeight="false" outlineLevel="0" collapsed="false">
      <c r="D12" s="0" t="s">
        <v>113</v>
      </c>
    </row>
    <row r="13" customFormat="false" ht="15" hidden="false" customHeight="false" outlineLevel="0" collapsed="false">
      <c r="D13" s="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2026-07-12T18:58:01Z</dcterms:created>
  <dc:creator>openpyxl</dc:creator>
  <dc:description/>
  <dc:language>en-US</dc:language>
  <cp:lastModifiedBy/>
  <dcterms:modified xsi:type="dcterms:W3CDTF">2026-07-12T18:58:02Z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